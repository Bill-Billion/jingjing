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8fe68af71f48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dd8160a651f34f27"/>
    <x:sheet xmlns:r="http://schemas.openxmlformats.org/officeDocument/2006/relationships" name="交付包" sheetId="2" r:id="Racc65c62131b40c4"/>
    <x:sheet xmlns:r="http://schemas.openxmlformats.org/officeDocument/2006/relationships" name="配对任务" sheetId="3" r:id="R4fe5b85f0b374d29"/>
    <x:sheet xmlns:r="http://schemas.openxmlformats.org/officeDocument/2006/relationships" name="检查单元" sheetId="4" r:id="Rfdced2caf4ed45d8"/>
    <x:sheet xmlns:r="http://schemas.openxmlformats.org/officeDocument/2006/relationships" name="验收场景" sheetId="5" r:id="R22749320aa3c482e"/>
    <x:sheet xmlns:r="http://schemas.openxmlformats.org/officeDocument/2006/relationships" name="旧REQ去向" sheetId="6" r:id="Rb7f658069dd74348"/>
    <x:sheet xmlns:r="http://schemas.openxmlformats.org/officeDocument/2006/relationships" name="原型40去向" sheetId="7" r:id="R398a6ba1cfe34b1b"/>
    <x:sheet xmlns:r="http://schemas.openxmlformats.org/officeDocument/2006/relationships" name="规则待决" sheetId="8" r:id="Rbc6c0bff0dc04328"/>
    <x:sheet xmlns:r="http://schemas.openxmlformats.org/officeDocument/2006/relationships" name="外部条件" sheetId="9" r:id="R3d08fefbd1de4e4a"/>
    <x:sheet xmlns:r="http://schemas.openxmlformats.org/officeDocument/2006/relationships" name="当前19组" sheetId="10" r:id="R46b4e012ad624495"/>
    <x:sheet xmlns:r="http://schemas.openxmlformats.org/officeDocument/2006/relationships" name="远端证据" sheetId="11" r:id="Re9e7655283874b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b/>
      <x:sz val="11"/>
      <x:color rgb="FFFFFFFF"/>
      <x:name val="Carlito"/>
    </x:font>
    <x:font>
      <x:sz val="11"/>
      <x:color rgb="FF4B6670"/>
      <x:name val="Carlito"/>
    </x:font>
    <x:font>
      <x:b/>
      <x:sz val="11"/>
      <x:color rgb="FF744B1B"/>
      <x:name val="Carlito"/>
    </x:font>
    <x:font>
      <x:b/>
      <x:sz val="11"/>
      <x:color rgb="FF193D4B"/>
      <x:name val="Carlito"/>
    </x:font>
    <x:font>
      <x:sz val="11"/>
      <x:color rgb="FF526874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93D4B"/>
      </x:patternFill>
    </x:fill>
    <x:fill>
      <x:patternFill patternType="solid">
        <x:fgColor rgb="FFEEF4F4"/>
      </x:patternFill>
    </x:fill>
    <x:fill>
      <x:patternFill patternType="solid">
        <x:fgColor rgb="FF215C64"/>
      </x:patternFill>
    </x:fill>
    <x:fill>
      <x:patternFill patternType="solid">
        <x:fgColor rgb="FFFFF1DB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200" fontId="4" fillId="3" borderId="0" xfId="0" applyNumberFormat="1" applyFont="1" applyFill="1" applyBorder="1"/>
    <x:xf numFmtId="0" fontId="4" fillId="3" borderId="1" xfId="0" applyNumberFormat="1" applyFont="1" applyFill="1" applyBorder="1"/>
    <x:xf numFmtId="200" fontId="4" fillId="3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df86ac8aee422d" /><Relationship Type="http://schemas.openxmlformats.org/officeDocument/2006/relationships/theme" Target="/xl/theme/theme1.xml" Id="R3aaee42a798640ae" /><Relationship Type="http://schemas.openxmlformats.org/officeDocument/2006/relationships/sharedStrings" Target="/xl/sharedStrings.xml" Id="R268540e97f2c49c4" /><Relationship Type="http://schemas.openxmlformats.org/officeDocument/2006/relationships/worksheet" Target="/xl/worksheets/sheet1.xml" Id="Rdd8160a651f34f27" /><Relationship Type="http://schemas.openxmlformats.org/officeDocument/2006/relationships/worksheet" Target="/xl/worksheets/sheet2.xml" Id="Racc65c62131b40c4" /><Relationship Type="http://schemas.openxmlformats.org/officeDocument/2006/relationships/worksheet" Target="/xl/worksheets/sheet3.xml" Id="R4fe5b85f0b374d29" /><Relationship Type="http://schemas.openxmlformats.org/officeDocument/2006/relationships/worksheet" Target="/xl/worksheets/sheet4.xml" Id="Rfdced2caf4ed45d8" /><Relationship Type="http://schemas.openxmlformats.org/officeDocument/2006/relationships/worksheet" Target="/xl/worksheets/sheet5.xml" Id="R22749320aa3c482e" /><Relationship Type="http://schemas.openxmlformats.org/officeDocument/2006/relationships/worksheet" Target="/xl/worksheets/sheet6.xml" Id="Rb7f658069dd74348" /><Relationship Type="http://schemas.openxmlformats.org/officeDocument/2006/relationships/worksheet" Target="/xl/worksheets/sheet7.xml" Id="R398a6ba1cfe34b1b" /><Relationship Type="http://schemas.openxmlformats.org/officeDocument/2006/relationships/worksheet" Target="/xl/worksheets/sheet8.xml" Id="Rbc6c0bff0dc04328" /><Relationship Type="http://schemas.openxmlformats.org/officeDocument/2006/relationships/worksheet" Target="/xl/worksheets/sheet9.xml" Id="R3d08fefbd1de4e4a" /><Relationship Type="http://schemas.openxmlformats.org/officeDocument/2006/relationships/worksheet" Target="/xl/worksheets/sheet10.xml" Id="R46b4e012ad624495" /><Relationship Type="http://schemas.openxmlformats.org/officeDocument/2006/relationships/worksheet" Target="/xl/worksheets/sheet11.xml" Id="Re9e7655283874bd8" /></Relationships>
</file>

<file path=xl/tables/table1.xml><?xml version="1.0" encoding="utf-8"?>
<x:table xmlns:x="http://schemas.openxmlformats.org/spreadsheetml/2006/main" id="1" name="T_2" displayName="T_2" ref="A4:I34" headerRowCount="1" totalsRowCount="0" totalsRowShown="0">
  <x:tableColumns count="9">
    <x:tableColumn id="1" name="编号"/>
    <x:tableColumn id="2" name="工作内容"/>
    <x:tableColumn id="3" name="处理方式"/>
    <x:tableColumn id="4" name="Core职责"/>
    <x:tableColumn id="5" name="Experience职责"/>
    <x:tableColumn id="6" name="依赖能力"/>
    <x:tableColumn id="7" name="契约边界"/>
    <x:tableColumn id="8" name="待决或外部"/>
    <x:tableColumn id="9" name="来源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3" displayName="T_3" ref="A4:L64" headerRowCount="1" totalsRowCount="0" totalsRowShown="0">
  <x:tableColumns count="12">
    <x:tableColumn id="1" name="任务编号"/>
    <x:tableColumn id="2" name="工作名称"/>
    <x:tableColumn id="3" name="建议负责人"/>
    <x:tableColumn id="4" name="实际认领"/>
    <x:tableColumn id="5" name="实现状态"/>
    <x:tableColumn id="6" name="测试状态"/>
    <x:tableColumn id="7" name="交叉审阅"/>
    <x:tableColumn id="8" name="共同合入"/>
    <x:tableColumn id="9" name="生产启用"/>
    <x:tableColumn id="10" name="依赖能力"/>
    <x:tableColumn id="11" name="所做工作"/>
    <x:tableColumn id="12" name="验收编号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4" displayName="T_4" ref="A4:N125" headerRowCount="1" totalsRowCount="0" totalsRowShown="0">
  <x:tableColumns count="14">
    <x:tableColumn id="1" name="编号"/>
    <x:tableColumn id="2" name="交付包"/>
    <x:tableColumn id="3" name="工作"/>
    <x:tableColumn id="4" name="具体范围"/>
    <x:tableColumn id="5" name="验收反例"/>
    <x:tableColumn id="6" name="现有处理"/>
    <x:tableColumn id="7" name="当前代码证据"/>
    <x:tableColumn id="8" name="证据性质"/>
    <x:tableColumn id="9" name="Core任务"/>
    <x:tableColumn id="10" name="Experience任务"/>
    <x:tableColumn id="11" name="旧REQ"/>
    <x:tableColumn id="12" name="原型40专题"/>
    <x:tableColumn id="13" name="需求来源"/>
    <x:tableColumn id="14" name="状态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5" displayName="T_5" ref="A4:I137" headerRowCount="1" totalsRowCount="0" totalsRowShown="0">
  <x:tableColumns count="9">
    <x:tableColumn id="1" name="编号"/>
    <x:tableColumn id="2" name="关联单元或工作包"/>
    <x:tableColumn id="3" name="场景"/>
    <x:tableColumn id="4" name="前提"/>
    <x:tableColumn id="5" name="期望结果"/>
    <x:tableColumn id="6" name="测试层次"/>
    <x:tableColumn id="7" name="执行结果"/>
    <x:tableColumn id="8" name="代码SHA"/>
    <x:tableColumn id="9" name="证据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_6" displayName="T_6" ref="A4:E64" headerRowCount="1" totalsRowCount="0" totalsRowShown="0">
  <x:tableColumns count="5">
    <x:tableColumn id="1" name="旧编号"/>
    <x:tableColumn id="2" name="原始标题"/>
    <x:tableColumn id="3" name="处理"/>
    <x:tableColumn id="4" name="交付关联"/>
    <x:tableColumn id="5" name="说明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_7" displayName="T_7" ref="A4:F44" headerRowCount="1" totalsRowCount="0" totalsRowShown="0">
  <x:tableColumns count="6">
    <x:tableColumn id="1" name="编号"/>
    <x:tableColumn id="2" name="名称"/>
    <x:tableColumn id="3" name="队友代码判断"/>
    <x:tableColumn id="4" name="队友依据"/>
    <x:tableColumn id="5" name="新交付包"/>
    <x:tableColumn id="6" name="说明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_8" displayName="T_8" ref="A4:J22" headerRowCount="1" totalsRowCount="0" totalsRowShown="0">
  <x:tableColumns count="10">
    <x:tableColumn id="1" name="编号"/>
    <x:tableColumn id="2" name="事项"/>
    <x:tableColumn id="3" name="来源冲突"/>
    <x:tableColumn id="4" name="待补答案"/>
    <x:tableColumn id="5" name="工作处理建议"/>
    <x:tableColumn id="6" name="关闭节点"/>
    <x:tableColumn id="7" name="责任岗位"/>
    <x:tableColumn id="8" name="交付包"/>
    <x:tableColumn id="9" name="状态"/>
    <x:tableColumn id="10" name="正式结论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_9" displayName="T_9" ref="A4:G11" headerRowCount="1" totalsRowCount="0" totalsRowShown="0">
  <x:tableColumns count="7">
    <x:tableColumn id="1" name="编号"/>
    <x:tableColumn id="2" name="事项"/>
    <x:tableColumn id="3" name="需要的真实证据"/>
    <x:tableColumn id="4" name="影响工作"/>
    <x:tableColumn id="5" name="当前状态"/>
    <x:tableColumn id="6" name="责任人"/>
    <x:tableColumn id="7" name="生产已启用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_10" displayName="T_10" ref="A4:E23" headerRowCount="1" totalsRowCount="0" totalsRowShown="0">
  <x:tableColumns count="5">
    <x:tableColumn id="1" name="业务组"/>
    <x:tableColumn id="2" name="判断"/>
    <x:tableColumn id="3" name="具体发现"/>
    <x:tableColumn id="4" name="证据基线"/>
    <x:tableColumn id="5" name="本轮独立重跑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_11" displayName="T_11" ref="A4:D13" headerRowCount="1" totalsRowCount="0" totalsRowShown="0">
  <x:tableColumns count="4">
    <x:tableColumn id="1" name="编号"/>
    <x:tableColumn id="2" name="核验内容"/>
    <x:tableColumn id="3" name="来源URL"/>
    <x:tableColumn id="4" name="本轮结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83fc4486dc5488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468c777caa0439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e4e1c13cc9b4eb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97cefef3033424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1ec9d02ffc54ac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d4e23458432453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c3f261156184a3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4e6c41db15d467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b4f43b75e7141c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e1459c032a064360" /></Relationships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36" customHeight="1">
      <x:c r="A1" s="3" t="str">
        <x:v>晶晶日上｜当前代码 → 完整 V5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执行D1 · 2026-10-16 · 业务V5 2026-10-13 · 工程锚点25e6d29</x:v>
      </x:c>
      <x:c r="B2" s="7"/>
      <x:c r="C2" s="7"/>
      <x:c r="D2" s="7"/>
      <x:c r="E2" s="7"/>
      <x:c r="F2" s="7"/>
      <x:c r="G2" s="7"/>
      <x:c r="H2" s="7"/>
    </x:row>
    <x:row r="4" ht="22" customHeight="1">
      <x:c r="A4" s="22" t="str">
        <x:v>PR23 未合并：当前连接取消Draft被权限拒绝。请按合并手册由本地已授权维护者执行；不更新main，不部署。</x:v>
      </x:c>
      <x:c r="B4" s="22"/>
      <x:c r="C4" s="22"/>
      <x:c r="D4" s="22"/>
      <x:c r="E4" s="22"/>
      <x:c r="F4" s="22"/>
      <x:c r="G4" s="22"/>
      <x:c r="H4" s="22"/>
    </x:row>
    <x:row r="5" ht="22" customHeight="1">
      <x:c r="A5" s="22"/>
      <x:c r="B5" s="22"/>
      <x:c r="C5" s="22"/>
      <x:c r="D5" s="22"/>
      <x:c r="E5" s="22"/>
      <x:c r="F5" s="22"/>
      <x:c r="G5" s="22"/>
      <x:c r="H5" s="22"/>
    </x:row>
    <x:row r="7" ht="26" customHeight="1">
      <x:c r="A7" s="11" t="str">
        <x:v>交付包</x:v>
      </x:c>
      <x:c r="B7" s="11" t="str">
        <x:v>配对任务</x:v>
      </x:c>
      <x:c r="C7" s="11" t="str">
        <x:v>检查单元</x:v>
      </x:c>
      <x:c r="D7" s="11" t="str">
        <x:v>拟验收场景</x:v>
      </x:c>
      <x:c r="F7" s="11" t="str">
        <x:v>已认领任务</x:v>
      </x:c>
      <x:c r="G7" s="11" t="str">
        <x:v>实现标完成</x:v>
      </x:c>
      <x:c r="H7" s="11" t="str">
        <x:v>已验收通过</x:v>
      </x:c>
    </x:row>
    <x:row r="8" ht="34" customHeight="1">
      <x:c r="A8" s="27" t="n">
        <x:f>COUNTA('交付包'!A5:A34)</x:f>
        <x:v>30</x:v>
      </x:c>
      <x:c r="B8" s="27" t="n">
        <x:f>COUNTA('配对任务'!A5:A64)</x:f>
        <x:v>60</x:v>
      </x:c>
      <x:c r="C8" s="27" t="n">
        <x:f>COUNTA('检查单元'!A5:A125)</x:f>
        <x:v>121</x:v>
      </x:c>
      <x:c r="D8" s="27" t="n">
        <x:f>COUNTA('验收场景'!A5:A137)</x:f>
        <x:v>133</x:v>
      </x:c>
      <x:c r="F8" s="27" t="n">
        <x:f>COUNTA('配对任务'!D5:D64)</x:f>
        <x:v>0</x:v>
      </x:c>
      <x:c r="G8" s="27" t="n">
        <x:f>COUNTIF('配对任务'!E5:E64,"实现完成")</x:f>
        <x:v>0</x:v>
      </x:c>
      <x:c r="H8" s="27" t="n">
        <x:f>COUNTIF('验收场景'!G5:G137,"PASS")</x:f>
        <x:v>0</x:v>
      </x:c>
    </x:row>
    <x:row r="10" ht="22" customHeight="1">
      <x:c r="A10" s="31" t="str">
        <x:v>这些数量是拆解与登记，不是完成百分比。现有基础并未清零；下表来自队友审阅。任务尚未按D1认领，133项V5验收尚未执行。</x:v>
      </x:c>
      <x:c r="B10" s="31"/>
      <x:c r="C10" s="31"/>
      <x:c r="D10" s="31"/>
      <x:c r="E10" s="31"/>
      <x:c r="F10" s="31"/>
      <x:c r="G10" s="31"/>
      <x:c r="H10" s="31"/>
    </x:row>
    <x:row r="11" ht="22" customHeight="1">
      <x:c r="A11" s="31"/>
      <x:c r="B11" s="31"/>
      <x:c r="C11" s="31"/>
      <x:c r="D11" s="31"/>
      <x:c r="E11" s="31"/>
      <x:c r="F11" s="31"/>
      <x:c r="G11" s="31"/>
      <x:c r="H11" s="31"/>
    </x:row>
    <x:row r="13" ht="26" customHeight="1">
      <x:c r="A13" s="3" t="str">
        <x:v>现有业务分类</x:v>
      </x:c>
      <x:c r="B13" s="3" t="str">
        <x:v>组数</x:v>
      </x:c>
      <x:c r="C13" s="3" t="str">
        <x:v>含义</x:v>
      </x:c>
      <x:c r="D13" s="3"/>
      <x:c r="E13" s="3"/>
    </x:row>
    <x:row r="14" ht="29" customHeight="1">
      <x:c r="A14" s="16" t="str">
        <x:v>已具备基础</x:v>
      </x:c>
      <x:c r="B14" s="16" t="n">
        <x:f>COUNTIF('当前19组'!B5:B23,A14)</x:f>
        <x:v>3</x:v>
      </x:c>
      <x:c r="C14" s="16" t="str">
        <x:v>复用账号、合同、交易等机制</x:v>
      </x:c>
      <x:c r="D14" s="16"/>
      <x:c r="E14" s="16"/>
    </x:row>
    <x:row r="15" ht="29" customHeight="1">
      <x:c r="A15" s="16" t="str">
        <x:v>部分重构</x:v>
      </x:c>
      <x:c r="B15" s="16" t="n">
        <x:f>COUNTIF('当前19组'!B5:B23,A15)</x:f>
        <x:v>6</x:v>
      </x:c>
      <x:c r="C15" s="16" t="str">
        <x:v>扩展导航、制作、消息、机构、运营</x:v>
      </x:c>
      <x:c r="D15" s="16"/>
      <x:c r="E15" s="16"/>
    </x:row>
    <x:row r="16" ht="29" customHeight="1">
      <x:c r="A16" s="16" t="str">
        <x:v>基本新增</x:v>
      </x:c>
      <x:c r="B16" s="16" t="n">
        <x:f>COUNTIF('当前19组'!B5:B23,A16)</x:f>
        <x:v>10</x:v>
      </x:c>
      <x:c r="C16" s="16" t="str">
        <x:v>补消费者发现、试镜、会员及权益链</x:v>
      </x:c>
      <x:c r="D16" s="16"/>
      <x:c r="E16" s="16"/>
    </x:row>
    <x:row r="18" ht="26" customHeight="1">
      <x:c r="A18" s="11" t="str">
        <x:v>推荐阅读顺序</x:v>
      </x:c>
      <x:c r="B18" s="11"/>
      <x:c r="C18" s="11"/>
      <x:c r="D18" s="11"/>
      <x:c r="E18" s="11"/>
      <x:c r="F18" s="11"/>
      <x:c r="G18" s="11"/>
      <x:c r="H18" s="11"/>
    </x:row>
    <x:row r="20" ht="28" customHeight="1">
      <x:c r="A20" s="16" t="str">
        <x:v>01  先看远端证据与19组差距，避免把原型页面当成已开发。</x:v>
      </x:c>
      <x:c r="B20" s="16"/>
      <x:c r="C20" s="16"/>
      <x:c r="D20" s="16"/>
      <x:c r="E20" s="16"/>
      <x:c r="F20" s="16"/>
      <x:c r="G20" s="16"/>
      <x:c r="H20" s="16"/>
    </x:row>
    <x:row r="21" ht="28" customHeight="1">
      <x:c r="A21" s="16" t="str">
        <x:v>02  交付包 → 配对任务 → 检查单元，确认每个功能有双方接口和验收。</x:v>
      </x:c>
      <x:c r="B21" s="16"/>
      <x:c r="C21" s="16"/>
      <x:c r="D21" s="16"/>
      <x:c r="E21" s="16"/>
      <x:c r="F21" s="16"/>
      <x:c r="G21" s="16"/>
      <x:c r="H21" s="16"/>
    </x:row>
    <x:row r="22" ht="28" customHeight="1">
      <x:c r="A22" s="16" t="str">
        <x:v>03  旧REQ与原型40项保留编号；当前不能再只执行旧18项增量。</x:v>
      </x:c>
      <x:c r="B22" s="16"/>
      <x:c r="C22" s="16"/>
      <x:c r="D22" s="16"/>
      <x:c r="E22" s="16"/>
      <x:c r="F22" s="16"/>
      <x:c r="G22" s="16"/>
      <x:c r="H22" s="16"/>
    </x:row>
    <x:row r="23" ht="28" customHeight="1">
      <x:c r="A23" s="16" t="str">
        <x:v>04  待决项只阻塞相关正式动作；未填的价格/权益/权限不默认批准。</x:v>
      </x:c>
      <x:c r="B23" s="16"/>
      <x:c r="C23" s="16"/>
      <x:c r="D23" s="16"/>
      <x:c r="E23" s="16"/>
      <x:c r="F23" s="16"/>
      <x:c r="G23" s="16"/>
      <x:c r="H23" s="16"/>
    </x:row>
    <x:row r="24" ht="28" customHeight="1">
      <x:c r="A24" s="16" t="str">
        <x:v>05  JSON归并进既有repo board/status后，以仓库为活跃进度中心。</x:v>
      </x:c>
      <x:c r="B24" s="16"/>
      <x:c r="C24" s="16"/>
      <x:c r="D24" s="16"/>
      <x:c r="E24" s="16"/>
      <x:c r="F24" s="16"/>
      <x:c r="G24" s="16"/>
      <x:c r="H24" s="16"/>
    </x:row>
    <x:row r="26" ht="22" customHeight="1">
      <x:c r="A26" s="34" t="str">
        <x:v>资料不含机密交接ZIP、真实Key/.env或数据库。最新CI是25e6d29的测试记录，不是V5、原生真机或生产Provider验收。</x:v>
      </x:c>
      <x:c r="B26" s="34"/>
      <x:c r="C26" s="34"/>
      <x:c r="D26" s="34"/>
      <x:c r="E26" s="34"/>
      <x:c r="F26" s="34"/>
      <x:c r="G26" s="34"/>
      <x:c r="H26" s="34"/>
    </x:row>
    <x:row r="27" ht="22" customHeight="1">
      <x:c r="A27" s="34"/>
      <x:c r="B27" s="34"/>
      <x:c r="C27" s="34"/>
      <x:c r="D27" s="34"/>
      <x:c r="E27" s="34"/>
      <x:c r="F27" s="34"/>
      <x:c r="G27" s="34"/>
      <x:c r="H27" s="34"/>
    </x:row>
  </x:sheetData>
  <x:mergeCells>
    <x:mergeCell ref="A1:H1"/>
    <x:mergeCell ref="A2:H2"/>
    <x:mergeCell ref="A4:H5"/>
    <x:mergeCell ref="A10:H11"/>
    <x:mergeCell ref="C14:E14"/>
    <x:mergeCell ref="C15:E15"/>
    <x:mergeCell ref="C16:E16"/>
    <x:mergeCell ref="A18:H18"/>
    <x:mergeCell ref="A20:H20"/>
    <x:mergeCell ref="A21:H21"/>
    <x:mergeCell ref="A22:H22"/>
    <x:mergeCell ref="A23:H23"/>
    <x:mergeCell ref="A24:H24"/>
    <x:mergeCell ref="A26:H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34" hidden="0" customWidth="1"/>
    <x:col min="3" max="3" width="26" hidden="0" customWidth="1"/>
    <x:col min="4" max="4" width="48" hidden="0" customWidth="1"/>
    <x:col min="5" max="5" width="48" hidden="0" customWidth="1"/>
    <x:col min="6" max="6" width="25" hidden="0" customWidth="1"/>
    <x:col min="7" max="7" width="40" hidden="0" customWidth="1"/>
    <x:col min="8" max="8" width="27" hidden="0" customWidth="1"/>
    <x:col min="9" max="9" width="36" hidden="0" customWidth="1"/>
  </x:cols>
  <x:sheetData>
    <x:row r="1" ht="30" customHeight="1">
      <x:c r="A1" s="3" t="str">
        <x:v>30个完整交付包｜Core与Experience共同范围</x:v>
      </x:c>
      <x:c r="B1" s="3"/>
      <x:c r="C1" s="3"/>
      <x:c r="D1" s="3"/>
      <x:c r="E1" s="3"/>
      <x:c r="F1" s="3"/>
      <x:c r="G1" s="3"/>
      <x:c r="H1" s="3"/>
      <x:c r="I1" s="3"/>
    </x:row>
    <x:row r="2" ht="26" customHeight="1">
      <x:c r="A2" s="7" t="str">
        <x:v>D1 / 2026-10-16 · PR23@25e6d29 · 此表为执行登记，不是完成率或生产通过证据</x:v>
      </x:c>
      <x:c r="B2" s="7"/>
      <x:c r="C2" s="7"/>
      <x:c r="D2" s="7"/>
      <x:c r="E2" s="7"/>
      <x:c r="F2" s="7"/>
      <x:c r="G2" s="7"/>
      <x:c r="H2" s="7"/>
      <x:c r="I2" s="7"/>
    </x:row>
    <x:row r="4" ht="30" customHeight="1">
      <x:c r="A4" s="12" t="str">
        <x:v>编号</x:v>
      </x:c>
      <x:c r="B4" s="12" t="str">
        <x:v>工作内容</x:v>
      </x:c>
      <x:c r="C4" s="12" t="str">
        <x:v>处理方式</x:v>
      </x:c>
      <x:c r="D4" s="12" t="str">
        <x:v>Core职责</x:v>
      </x:c>
      <x:c r="E4" s="12" t="str">
        <x:v>Experience职责</x:v>
      </x:c>
      <x:c r="F4" s="12" t="str">
        <x:v>依赖能力</x:v>
      </x:c>
      <x:c r="G4" s="12" t="str">
        <x:v>契约边界</x:v>
      </x:c>
      <x:c r="H4" s="12" t="str">
        <x:v>待决或外部</x:v>
      </x:c>
      <x:c r="I4" s="12" t="str">
        <x:v>来源</x:v>
      </x:c>
    </x:row>
    <x:row r="5" ht="75" customHeight="1">
      <x:c r="A5" s="17" t="str">
        <x:v>DEL-00</x:v>
      </x:c>
      <x:c r="B5" s="17" t="str">
        <x:v>旧阶段归档、PR23合并与V5任务基线</x:v>
      </x:c>
      <x:c r="C5" s="17" t="str">
        <x:v>治理衔接</x:v>
      </x:c>
      <x:c r="D5" s="17" t="str">
        <x:v>在已授权本地CLI完成合并门禁；以merge保留历史合入integration；保存实际merge SHA；更新原docs/status、任务board、来源与契约台账。</x:v>
      </x:c>
      <x:c r="E5" s="17" t="str">
        <x:v>确认本地未推送工作、实际GitHub账号和文件归属；从同一合并点建立ux分支；给出页面迁移清单，不替Core认领。</x:v>
      </x:c>
      <x:c r="F5" s="17" t="str"/>
      <x:c r="G5" s="17" t="str">
        <x:v>baseline_id、source_sha、integration_sha、contract_version、owner、review_evidence</x:v>
      </x:c>
      <x:c r="H5" s="17" t="str"/>
      <x:c r="I5" s="17" t="str">
        <x:v>本轮用户指令；队友审阅§比较基线、衔接顺序</x:v>
      </x:c>
    </x:row>
    <x:row r="6" ht="75" customHeight="1">
      <x:c r="A6" s="17" t="str">
        <x:v>DEL-01</x:v>
      </x:c>
      <x:c r="B6" s="17" t="str">
        <x:v>账号、主体、成员与三端访问</x:v>
      </x:c>
      <x:c r="C6" s="17" t="str">
        <x:v>复用扩展</x:v>
      </x:c>
      <x:c r="D6" s="17" t="str">
        <x:v>扩展既有身份与成员模型；统一艺人、买家、星探能力查询；C/B/A会话访问边界，运营不由前台自选授予。</x:v>
      </x:c>
      <x:c r="E6" s="17" t="str">
        <x:v>复用登录/退出/主体信息和企业代表权；全员同导航，具体动作显示权限和不足原因；失权清空旧私密内容。</x:v>
      </x:c>
      <x:c r="F6" s="17" t="str">
        <x:v>DEL-00</x:v>
      </x:c>
      <x:c r="G6" s="17" t="str">
        <x:v>account、acting_party、membership、capabilities、allowed_actions（新增则走契约变更）</x:v>
      </x:c>
      <x:c r="H6" s="17" t="str">
        <x:v>DEC-05</x:v>
      </x:c>
      <x:c r="I6" s="17" t="str">
        <x:v>V5 §1.2—1.4、2.9；队友审阅L30、L126</x:v>
      </x:c>
    </x:row>
    <x:row r="7" ht="75" customHeight="1">
      <x:c r="A7" s="17" t="str">
        <x:v>DEL-02</x:v>
      </x:c>
      <x:c r="B7" s="17" t="str">
        <x:v>实名年龄、主角光环与认证收费</x:v>
      </x:c>
      <x:c r="C7" s="17" t="str">
        <x:v>新增业务</x:v>
      </x:c>
      <x:c r="D7" s="17" t="str">
        <x:v>实名结果、权利人稳定标识、年龄/监护状态、L1免费与L2/L3审核单；10元审核费接真实支付证据、补件、有效期、申诉。</x:v>
      </x:c>
      <x:c r="E7" s="17" t="str">
        <x:v>实名与认证分开页面；明确费用和人工审核；未配置/驳回/补料/年龄异议均有去向；不能一勾成年就通过。</x:v>
      </x:c>
      <x:c r="F7" s="17" t="str">
        <x:v>DEL-01</x:v>
      </x:c>
      <x:c r="G7" s="17" t="str">
        <x:v>identity_result、rights_holder_ref、age_band、guardian_case、halo_case、review_payment</x:v>
      </x:c>
      <x:c r="H7" s="17" t="str">
        <x:v>DEC-11；EXT-01</x:v>
      </x:c>
      <x:c r="I7" s="17" t="str">
        <x:v>V5 §1.3、2.14、5.6；信用成长专项§1</x:v>
      </x:c>
    </x:row>
    <x:row r="8" ht="75" customHeight="1">
      <x:c r="A8" s="17" t="str">
        <x:v>DEL-03</x:v>
      </x:c>
      <x:c r="B8" s="17" t="str">
        <x:v>多数字人、造型声音及基础创建托管</x:v>
      </x:c>
      <x:c r="C8" s="17" t="str">
        <x:v>新增业务并复用档案</x:v>
      </x:c>
      <x:c r="D8" s="17" t="str">
        <x:v>复用works/consent档案，增加数字人—真人权利人—造型/声音版本—外部资产映射；创建60/人、托管29/月业务及失败返还；不建深度影视生成器。</x:v>
      </x:c>
      <x:c r="E8" s="17" t="str">
        <x:v>我的艺人/多数字人列表、造型声音、资料公开选择、创建处理中/失败/待权限、托管权益和取消续订。</x:v>
      </x:c>
      <x:c r="F8" s="17" t="str">
        <x:v>DEL-01；DEL-02</x:v>
      </x:c>
      <x:c r="G8" s="17" t="str">
        <x:v>avatar、look_version、voice_version、provider_asset_ref、creation_order、hosting_entitlement</x:v>
      </x:c>
      <x:c r="H8" s="17" t="str">
        <x:v>DEC-11；DEC-17；EXT-02；DEC-08；EXT-01</x:v>
      </x:c>
      <x:c r="I8" s="17" t="str">
        <x:v>V5 §1.1、2.3、2.4、3.4</x:v>
      </x:c>
    </x:row>
    <x:row r="9" ht="75" customHeight="1">
      <x:c r="A9" s="17" t="str">
        <x:v>DEL-04</x:v>
      </x:c>
      <x:c r="B9" s="17" t="str">
        <x:v>广场艺人目录、城市筛选与匹配</x:v>
      </x:c>
      <x:c r="C9" s="17" t="str">
        <x:v>新增业务</x:v>
      </x:c>
      <x:c r="D9" s="17" t="str">
        <x:v>从已审核私有档案生成公开投影；按城市/价格/认证/评分检索；位置权限拒绝支持手动城市；AI匹配能力独立启用。</x:v>
      </x:c>
      <x:c r="E9" s="17" t="str">
        <x:v>电影感艺人货架、搜索筛选、详情、试听、公开作品、找出品人入口；区分广场发现与仅公开接单艺人的试镜。</x:v>
      </x:c>
      <x:c r="F9" s="17" t="str">
        <x:v>DEL-01；DEL-03</x:v>
      </x:c>
      <x:c r="G9" s="17" t="str">
        <x:v>public_artist、search_filter、city、sample_preview、match_result、ranking_basis</x:v>
      </x:c>
      <x:c r="H9" s="17" t="str">
        <x:v>EXT-02</x:v>
      </x:c>
      <x:c r="I9" s="17" t="str">
        <x:v>V5 §1.3、2.2、2.6、2.14</x:v>
      </x:c>
    </x:row>
    <x:row r="10" ht="75" customHeight="1">
      <x:c r="A10" s="17" t="str">
        <x:v>DEL-05</x:v>
      </x:c>
      <x:c r="B10" s="17" t="str">
        <x:v>艺人视频商品上架与内容运营</x:v>
      </x:c>
      <x:c r="C10" s="17" t="str">
        <x:v>新增业务并复用审核</x:v>
      </x:c>
      <x:c r="D10" s="17" t="str">
        <x:v>增加现成视频、代做样片服务、私人预览等对象类型；复用商品规格版本和内容/权利双审，公开素材与私有文件分离。</x:v>
      </x:c>
      <x:c r="E10" s="17" t="str">
        <x:v>个人轻上架、MCN批量上架、视频货架与详情、带锁全片、许可摘要、运营栏目/推荐/节日套餐。</x:v>
      </x:c>
      <x:c r="F10" s="17" t="str">
        <x:v>DEL-01；DEL-03；DEL-24</x:v>
      </x:c>
      <x:c r="G10" s="17" t="str">
        <x:v>product_kind、seller_party、license_snapshot、public_projection、asset_ref、publish_review</x:v>
      </x:c>
      <x:c r="H10" s="17" t="str">
        <x:v>DEC-08；DEC-17；EXT-04</x:v>
      </x:c>
      <x:c r="I10" s="17" t="str">
        <x:v>V5 §2.1—2.3、2.12⑤</x:v>
      </x:c>
    </x:row>
    <x:row r="11" ht="75" customHeight="1">
      <x:c r="A11" s="17" t="str">
        <x:v>DEL-06</x:v>
      </x:c>
      <x:c r="B11" s="17" t="str">
        <x:v>现成视频的购买、许可和受控下载</x:v>
      </x:c>
      <x:c r="C11" s="17" t="str">
        <x:v>新增业务</x:v>
      </x:c>
      <x:c r="D11" s="17" t="str">
        <x:v>在既有trade上增加现货订单/授权权益；受信付款确认后发一次权益；完成可播放/下载记录、版本、撤权和售后。</x:v>
      </x:c>
      <x:c r="E11" s="17" t="str">
        <x:v>现货商品→权益确认→收银→解锁→受控下载，不进入故事卡/人工报价/制作等待。</x:v>
      </x:c>
      <x:c r="F11" s="17" t="str">
        <x:v>DEL-05；DEL-07；DEL-08</x:v>
      </x:c>
      <x:c r="G11" s="17" t="str">
        <x:v>stock_order、payment_result、purchase_entitlement、download_access、delivery_receipt</x:v>
      </x:c>
      <x:c r="H11" s="17" t="str">
        <x:v>DEC-04；DEC-08；EXT-03；DEC-01</x:v>
      </x:c>
      <x:c r="I11" s="17" t="str">
        <x:v>V5 §2.1、2.3、3.6；队友审阅L69—72</x:v>
      </x:c>
    </x:row>
    <x:row r="12" ht="75" customHeight="1">
      <x:c r="A12" s="17" t="str">
        <x:v>DEL-07</x:v>
      </x:c>
      <x:c r="B12" s="17" t="str">
        <x:v>报价合同、各商品收银与退款恢复</x:v>
      </x:c>
      <x:c r="C12" s="17" t="str">
        <x:v>复用扩展</x:v>
      </x:c>
      <x:c r="D12" s="17" t="str">
        <x:v>复用trade订单/合同快照；按现货、人工定制、样片制作、试镜、创建/订阅配置付款计划；支付意图、SDK回跳查单、未知结果、退款与补差。</x:v>
      </x:c>
      <x:c r="E12" s="17" t="str">
        <x:v>统一收银壳但按商品展示付款条件；接原生支付/回跳与失败恢复，不在客户端直接置paid。</x:v>
      </x:c>
      <x:c r="F12" s="17" t="str">
        <x:v>DEL-01</x:v>
      </x:c>
      <x:c r="G12" s="17" t="str">
        <x:v>order_kind、quote_version、payment_plan、payment_attempt、receipt、refund_case、price_change</x:v>
      </x:c>
      <x:c r="H12" s="17" t="str">
        <x:v>DEC-04；DEC-10；EXT-03；DEC-01；DEC-12；DEC-17</x:v>
      </x:c>
      <x:c r="I12" s="17" t="str">
        <x:v>V5 §2.10、3.4、3.6；队友审阅L32、99</x:v>
      </x:c>
    </x:row>
    <x:row r="13" ht="75" customHeight="1">
      <x:c r="A13" s="17" t="str">
        <x:v>DEL-08</x:v>
      </x:c>
      <x:c r="B13" s="17" t="str">
        <x:v>V5分账规则、历史订单与财务校验迁移</x:v>
      </x:c>
      <x:c r="C13" s="17" t="str">
        <x:v>必须改算法，保留旧版</x:v>
      </x:c>
      <x:c r="D13" s="17" t="str">
        <x:v>新增V5两层规则版本；独立MCN份额/推荐返佣；同时修改计算、应付来源校验、快照、退款冲回、尾差、税票证据及批次对账；旧版不可覆盖。</x:v>
      </x:c>
      <x:c r="E13" s="17" t="str">
        <x:v>报价/订单/MCN/财务展示同一版本的计算明细；不把所有余额当现金可提现；异常需待核查。</x:v>
      </x:c>
      <x:c r="F13" s="17" t="str">
        <x:v>DEL-01</x:v>
      </x:c>
      <x:c r="G13" s="17" t="str">
        <x:v>fee_rule_version、fee_base、mcn_supply_share、referral_share、settlement_batch、adjustment</x:v>
      </x:c>
      <x:c r="H13" s="17" t="str">
        <x:v>DEC-07；DEC-14；EXT-03；EXT-05</x:v>
      </x:c>
      <x:c r="I13" s="17" t="str">
        <x:v>V5 §3.2—3.8；队友审阅L56—65</x:v>
      </x:c>
    </x:row>
    <x:row r="14" ht="75" customHeight="1">
      <x:c r="A14" s="17" t="str">
        <x:v>DEL-09</x:v>
      </x:c>
      <x:c r="B14" s="17" t="str">
        <x:v>真实试镜预约、到场取样与清分</x:v>
      </x:c>
      <x:c r="C14" s="17" t="str">
        <x:v>新增业务</x:v>
      </x:c>
      <x:c r="D14" s="17" t="str">
        <x:v>公开接试镜/标价设置，城市/时间地点/真实用途，先付后接拒，未接全退；6照1视频交付、按约到场确认、定时和争议，底板授权入库。</x:v>
      </x:c>
      <x:c r="E14" s="17" t="str">
        <x:v>仅公开接单艺人出现在试镜页；一口价含交通，无主题/职业固定菜单；行程、安全、交付和客服。</x:v>
      </x:c>
      <x:c r="F14" s="17" t="str">
        <x:v>DEL-02；DEL-03；DEL-07；DEL-08；DEL-12</x:v>
      </x:c>
      <x:c r="G14" s="17" t="str">
        <x:v>audition_offer、invitation、acceptance、appointment、delivery_set、baseplate_consent</x:v>
      </x:c>
      <x:c r="H14" s="17" t="str">
        <x:v>DEC-03；DEC-04；DEC-11；EXT-03；EXT-01</x:v>
      </x:c>
      <x:c r="I14" s="17" t="str">
        <x:v>V5 §2.4、2.10、3.3</x:v>
      </x:c>
    </x:row>
    <x:row r="15" ht="75" customHeight="1">
      <x:c r="A15" s="17" t="str">
        <x:v>DEL-10</x:v>
      </x:c>
      <x:c r="B15" s="17" t="str">
        <x:v>六类通告与发布资格</x:v>
      </x:c>
      <x:c r="C15" s="17" t="str">
        <x:v>复用项目基础后新增聚合</x:v>
      </x:c>
      <x:c r="D15" s="17" t="str">
        <x:v>剧/商演/商单/活动/招募/平台通告类型和动态字段，城市时限、审核、发布权限、失效/下架；关联项目或需求而非直接成交订单。</x:v>
      </x:c>
      <x:c r="E15" s="17" t="str">
        <x:v>通告列表、分类详情、类型化发布和投稿按钮；平台官方通告仅运营；不强迫每类都填到场设备。</x:v>
      </x:c>
      <x:c r="F15" s="17" t="str">
        <x:v>DEL-01；DEL-17</x:v>
      </x:c>
      <x:c r="G15" s="17" t="str">
        <x:v>notice、notice_kind、eligibility、publish_review、target_project、recruitment_slots</x:v>
      </x:c>
      <x:c r="H15" s="17" t="str">
        <x:v>DEC-05</x:v>
      </x:c>
      <x:c r="I15" s="17" t="str">
        <x:v>V5 §2.7、2.5；队友审阅L35、L88</x:v>
      </x:c>
    </x:row>
    <x:row r="16" ht="75" customHeight="1">
      <x:c r="A16" s="17" t="str">
        <x:v>DEL-11</x:v>
      </x:c>
      <x:c r="B16" s="17" t="str">
        <x:v>意向卡、反向投稿与客服转单</x:v>
      </x:c>
      <x:c r="C16" s="17" t="str">
        <x:v>新增业务</x:v>
      </x:c>
      <x:c r="D16" s="17" t="str">
        <x:v>面向买家/通告的三类投稿、意向卡、幂等回复、状态/时限、客服工单、关联正式报价与订单。</x:v>
      </x:c>
      <x:c r="E16" s="17" t="str">
        <x:v>我的投稿/被投稿、形象/想演角色/自己做剧表单、感兴趣/婉拒、待客服、转入订单的追踪。</x:v>
      </x:c>
      <x:c r="F16" s="17" t="str">
        <x:v>DEL-01；DEL-03；DEL-10</x:v>
      </x:c>
      <x:c r="G16" s="17" t="str">
        <x:v>intent_card、submission、reply_decision、cs_ticket、linked_quote_order</x:v>
      </x:c>
      <x:c r="H16" s="17" t="str">
        <x:v>DEC-03；DEC-04</x:v>
      </x:c>
      <x:c r="I16" s="17" t="str">
        <x:v>V5 §2.5、2.6、2.8、2.10</x:v>
      </x:c>
    </x:row>
    <x:row r="17" ht="75" customHeight="1">
      <x:c r="A17" s="17" t="str">
        <x:v>DEL-12</x:v>
      </x:c>
      <x:c r="B17" s="17" t="str">
        <x:v>订单会话、通知与客服权限</x:v>
      </x:c>
      <x:c r="C17" s="17" t="str">
        <x:v>扩展已有通知，不冒充已完成IM</x:v>
      </x:c>
      <x:c r="D17" s="17" t="str">
        <x:v>复用通知基础，新增会话列表/参与者/资格来源、文本与业务卡片/媒体、客服加入、敏感内容处理、已读、冻结和归档；补差走交易服务。</x:v>
      </x:c>
      <x:c r="E17" s="17" t="str">
        <x:v>消息三分区：订单会话、单向投稿、系统通知；权限不足有真实原因，客服与交易对方入口分开。</x:v>
      </x:c>
      <x:c r="F17" s="17" t="str">
        <x:v>DEL-01</x:v>
      </x:c>
      <x:c r="G17" s="17" t="str">
        <x:v>conversation、participant_scope、message、conversation_eligibility、read_receipt</x:v>
      </x:c>
      <x:c r="H17" s="17" t="str">
        <x:v>DEC-03；EXT-04</x:v>
      </x:c>
      <x:c r="I17" s="17" t="str">
        <x:v>V5 §2.8、2.10；队友审阅L74</x:v>
      </x:c>
    </x:row>
    <x:row r="18" ht="75" customHeight="1">
      <x:c r="A18" s="17" t="str">
        <x:v>DEL-13</x:v>
      </x:c>
      <x:c r="B18" s="17" t="str">
        <x:v>剧本商务供稿与运营入库</x:v>
      </x:c>
      <x:c r="C18" s="17" t="str">
        <x:v>收回自助入口，保留历史</x:v>
      </x:c>
      <x:c r="D18" s="17" t="str">
        <x:v>限制新增作者自助上传和独立版权商城；A端代录作者、权利链、作品版本及项目用法；保留旧合同、许可和文件读权限；非标许可走报价合同。</x:v>
      </x:c>
      <x:c r="E18" s="17" t="str">
        <x:v>移除公开作者入驻/新投稿入口，历史记录继续可查；运营剧本库与受控项目材料，不新建D端。</x:v>
      </x:c>
      <x:c r="F18" s="17" t="str">
        <x:v>DEL-01；DEL-24</x:v>
      </x:c>
      <x:c r="G18" s="17" t="str">
        <x:v>work、work_version、source_party、rights_evidence、cms_submission、historical_grant</x:v>
      </x:c>
      <x:c r="H18" s="17" t="str">
        <x:v>DEC-08；EXT-05</x:v>
      </x:c>
      <x:c r="I18" s="17" t="str">
        <x:v>V5 §2.7；队友审阅L78</x:v>
      </x:c>
    </x:row>
    <x:row r="19" ht="75" customHeight="1">
      <x:c r="A19" s="17" t="str">
        <x:v>DEL-14</x:v>
      </x:c>
      <x:c r="B19" s="17" t="str">
        <x:v>定制品类与动态故事采集</x:v>
      </x:c>
      <x:c r="C19" s="17" t="str">
        <x:v>新增业务</x:v>
      </x:c>
      <x:c r="D19" s="17" t="str">
        <x:v>品类与采集字段发布版本、草稿/正式提交/补件；字段目的/最小化/附件私有；提交为待受理需求，关联后续quote和production。</x:v>
      </x:c>
      <x:c r="E19" s="17" t="str">
        <x:v>爱情婚礼、家族、人生、创业、宠物等真实动态表单；保存恢复、必填错误、补件、素材用途/授权提醒。</x:v>
      </x:c>
      <x:c r="F19" s="17" t="str">
        <x:v>DEL-01；DEL-24</x:v>
      </x:c>
      <x:c r="G19" s="17" t="str">
        <x:v>story_schema_version、story_card、attachment_ref、submission、supplement_request</x:v>
      </x:c>
      <x:c r="H19" s="17" t="str">
        <x:v>DEC-15</x:v>
      </x:c>
      <x:c r="I19" s="17" t="str">
        <x:v>V5 §2.12①—③；队友审阅L159—168</x:v>
      </x:c>
    </x:row>
    <x:row r="20" ht="75" customHeight="1">
      <x:c r="A20" s="17" t="str">
        <x:v>DEL-15</x:v>
      </x:c>
      <x:c r="B20" s="17" t="str">
        <x:v>真人承制、报价里程碑与交付</x:v>
      </x:c>
      <x:c r="C20" s="17" t="str">
        <x:v>扩展现有制作链，不重建</x:v>
      </x:c>
      <x:c r="D20" s="17" t="str">
        <x:v>复用production派单和四阶段版本；接故事卡/品类/档期、承制主体、开工依据、30/60/10付款计划、正式交稿/返修和个人成果。</x:v>
      </x:c>
      <x:c r="E20" s="17" t="str">
        <x:v>定制商城、报价确认、制作进度、版本反馈及成片管理；沿用现有接口，不另起一套custom production数据库事实。</x:v>
      </x:c>
      <x:c r="F20" s="17" t="str">
        <x:v>DEL-03；DEL-07；DEL-08；DEL-13；DEL-14</x:v>
      </x:c>
      <x:c r="G20" s="17" t="str">
        <x:v>story_ref、production_project、order_line_id、stage_plan、deliverable_version、acceptance</x:v>
      </x:c>
      <x:c r="H20" s="17" t="str">
        <x:v>DEC-04；DEC-08；DEC-10；EXT-02；EXT-05</x:v>
      </x:c>
      <x:c r="I20" s="17" t="str">
        <x:v>V5 §2.12、3.4；队友审阅L67</x:v>
      </x:c>
    </x:row>
    <x:row r="21" ht="75" customHeight="1">
      <x:c r="A21" s="17" t="str">
        <x:v>DEL-16</x:v>
      </x:c>
      <x:c r="B21" s="17" t="str">
        <x:v>多人共创、去重授权及10/20权益</x:v>
      </x:c>
      <x:c r="C21" s="17" t="str">
        <x:v>新增业务</x:v>
      </x:c>
      <x:c r="D21" s="17" t="str">
        <x:v>房间与主订单、受邀/加入/授权、真实权利人去重、开工资格与20人参与费减免快照；退组/延期/退款、个人片段访问。</x:v>
      </x:c>
      <x:c r="E21" s="17" t="str">
        <x:v>建房邀请、参与者独立填写与授权、人数和待办、开工条件、退组/未成团、主片与本人片段权限。</x:v>
      </x:c>
      <x:c r="F21" s="17" t="str">
        <x:v>DEL-02；DEL-03；DEL-14；DEL-15；DEL-20</x:v>
      </x:c>
      <x:c r="G21" s="17" t="str">
        <x:v>co_room、participant_rights_holder、join_consent、readiness、benefit_snapshot、personal_deliverable</x:v>
      </x:c>
      <x:c r="H21" s="17" t="str">
        <x:v>DEC-07；DEC-11；DEC-15</x:v>
      </x:c>
      <x:c r="I21" s="17" t="str">
        <x:v>V5 §2.12④、3.5；队友审阅L96</x:v>
      </x:c>
    </x:row>
    <x:row r="22" ht="75" customHeight="1">
      <x:c r="A22" s="17" t="str">
        <x:v>DEL-17</x:v>
      </x:c>
      <x:c r="B22" s="17" t="str">
        <x:v>消费者储值与星探会员</x:v>
      </x:c>
      <x:c r="C22" s="17" t="str">
        <x:v>新增业务，非供应方余额</x:v>
      </x:c>
      <x:c r="D22" s="17" t="str">
        <x:v>消费者托管余额账与充值订单、消费分配、退款、对账；300元资格、365天会员年续期冻结恢复；六级从合格成长派生，非购买等级。</x:v>
      </x:c>
      <x:c r="E22" s="17" t="str">
        <x:v>储值/消费余额、星探开通说明、会员年进度与冻结状态；未验证通道禁真实充值，不能额外售会费。</x:v>
      </x:c>
      <x:c r="F22" s="17" t="str">
        <x:v>DEL-02；DEL-07；DEL-18</x:v>
      </x:c>
      <x:c r="G22" s="17" t="str">
        <x:v>custodial_balance、recharge_order、consumer_payment_allocation、membership_period、growth_level</x:v>
      </x:c>
      <x:c r="H22" s="17" t="str">
        <x:v>DEC-05；DEC-06；DEC-12；DEC-13；EXT-03；EXT-01</x:v>
      </x:c>
      <x:c r="I22" s="17" t="str">
        <x:v>V5 §2.5、3.1、2.14</x:v>
      </x:c>
    </x:row>
    <x:row r="23" ht="75" customHeight="1">
      <x:c r="A23" s="17" t="str">
        <x:v>DEL-18</x:v>
      </x:c>
      <x:c r="B23" s="17" t="str">
        <x:v>晶钻、消费成长与积分事件账</x:v>
      </x:c>
      <x:c r="C23" s="17" t="str">
        <x:v>新增业务</x:v>
      </x:c>
      <x:c r="D23" s="17" t="str">
        <x:v>来源批次、免费/消费/退款事件、可用余额与累计成长分离；售后后发分、到期、冲回、并发占用；不自行新增现金购买晶钻产品。</x:v>
      </x:c>
      <x:c r="E23" s="17" t="str">
        <x:v>可用/累计成长各自解释，来源与到期记录、待入账、退款冲回和异议；不混同人民币余额。</x:v>
      </x:c>
      <x:c r="F23" s="17" t="str">
        <x:v>DEL-01；DEL-07</x:v>
      </x:c>
      <x:c r="G23" s="17" t="str">
        <x:v>points_lot、points_ledger、source_kind、qualifying_growth、reversal、expiry</x:v>
      </x:c>
      <x:c r="H23" s="17" t="str">
        <x:v>DEC-06；DEC-12</x:v>
      </x:c>
      <x:c r="I23" s="17" t="str">
        <x:v>V5 §1.3、2.5、2.13；信用成长专项§4</x:v>
      </x:c>
    </x:row>
    <x:row r="24" ht="75" customHeight="1">
      <x:c r="A24" s="17" t="str">
        <x:v>DEL-19</x:v>
      </x:c>
      <x:c r="B24" s="17" t="str">
        <x:v>艺人六榜、买家城市榜及成长评价</x:v>
      </x:c>
      <x:c r="C24" s="17" t="str">
        <x:v>新增并替换旧三榜口径</x:v>
      </x:c>
      <x:c r="D24" s="17" t="str">
        <x:v>艺人认证/接单成长/好评分立；消费/成交事实、六榜及城市买家榜版本与防刷；个性化关闭回退非个性排序；广告字段预留不开收费。</x:v>
      </x:c>
      <x:c r="E24" s="17" t="str">
        <x:v>榜单名称“排行榜”，各维度/地区/评分依据说明；免费自然排序与权益推荐位可区分。</x:v>
      </x:c>
      <x:c r="F24" s="17" t="str">
        <x:v>DEL-02；DEL-04；DEL-18</x:v>
      </x:c>
      <x:c r="G24" s="17" t="str">
        <x:v>artist_growth、review、halo_weight、rank_snapshot、buyer_city_rank、ranking_version</x:v>
      </x:c>
      <x:c r="H24" s="17" t="str">
        <x:v>DEC-05；DEC-06；DEC-16；EXT-06</x:v>
      </x:c>
      <x:c r="I24" s="17" t="str">
        <x:v>V5 §1.3、2.2、2.6、2.11；信用成长专项</x:v>
      </x:c>
    </x:row>
    <x:row r="25" ht="75" customHeight="1">
      <x:c r="A25" s="17" t="str">
        <x:v>DEL-20</x:v>
      </x:c>
      <x:c r="B25" s="17" t="str">
        <x:v>一级推荐、7天归因及退款返佣</x:v>
      </x:c>
      <x:c r="C25" s="17" t="str">
        <x:v>新增业务，与MCN分开</x:v>
      </x:c>
      <x:c r="D25" s="17" t="str">
        <x:v>推荐链接/归因事件、7天末次有效归因、自购排除、订单快照、售后结算、退款冲回；多层不建；费率冲突只影响发布版本。</x:v>
      </x:c>
      <x:c r="E25" s="17" t="str">
        <x:v>推荐记录、待结佣/已结佣/作废原因；复制链接不代表成交奖励；不建下级团队。</x:v>
      </x:c>
      <x:c r="F25" s="17" t="str">
        <x:v>DEL-01；DEL-07；DEL-08</x:v>
      </x:c>
      <x:c r="G25" s="17" t="str">
        <x:v>referral_attribution、order_attribution_snapshot、commission_accrual、reversal</x:v>
      </x:c>
      <x:c r="H25" s="17" t="str">
        <x:v>DEC-07；EXT-03</x:v>
      </x:c>
      <x:c r="I25" s="17" t="str">
        <x:v>V5 §2.12④、3.3、3.5；队友审阅L95</x:v>
      </x:c>
    </x:row>
    <x:row r="26" ht="75" customHeight="1">
      <x:c r="A26" s="17" t="str">
        <x:v>DEL-21</x:v>
      </x:c>
      <x:c r="B26" s="17" t="str">
        <x:v>晶钻抽奖、十连保底及概率发布</x:v>
      </x:c>
      <x:c r="C26" s="17" t="str">
        <x:v>新增业务，规则待发布核验</x:v>
      </x:c>
      <x:c r="D26" s="17" t="str">
        <x:v>奖池版本、资格与未成年门禁、300/2700扣分幂等、安全随机/保底算法、库存、公示、开奖和补偿记录；不使用前端随机作事实。</x:v>
      </x:c>
      <x:c r="E26" s="17" t="str">
        <x:v>规则公示、余额不足/资格不足/发布待核验、单抽十连结果与记录；不把角色机会显示为已获主角。</x:v>
      </x:c>
      <x:c r="F26" s="17" t="str">
        <x:v>DEL-02；DEL-18；DEL-22</x:v>
      </x:c>
      <x:c r="G26" s="17" t="str">
        <x:v>lottery_pool_version、draw_batch、draw_record、published_distribution、award_entitlement</x:v>
      </x:c>
      <x:c r="H26" s="17" t="str">
        <x:v>DEC-01；DEC-02；DEC-09；EXT-06；DEC-16</x:v>
      </x:c>
      <x:c r="I26" s="17" t="str">
        <x:v>V5 §2.13；抽奖V2专项</x:v>
      </x:c>
    </x:row>
    <x:row r="27" ht="75" customHeight="1">
      <x:c r="A27" s="17" t="str">
        <x:v>DEL-22</x:v>
      </x:c>
      <x:c r="B27" s="17" t="str">
        <x:v>固定兑换、卡券制作金与中奖权益兑现</x:v>
      </x:c>
      <x:c r="C27" s="17" t="str">
        <x:v>新增业务</x:v>
      </x:c>
      <x:c r="D27" s="17" t="str">
        <x:v>券模板/发行/锁定/核销/释放、固定兑换6000等、满减门槛、到期及退款；面试卡批次与预约、7天曝光权益实际执行。</x:v>
      </x:c>
      <x:c r="E27" s="17" t="str">
        <x:v>兑换确认、我的券、适用商品/满减提示、收银选券、面试预约与补救、曝光绑定资产和到期说明。</x:v>
      </x:c>
      <x:c r="F27" s="17" t="str">
        <x:v>DEL-07；DEL-18</x:v>
      </x:c>
      <x:c r="G27" s="17" t="str">
        <x:v>coupon_definition、entitlement、exchange_order、coupon_lock、redemption、audition_voucher、exposure_grant</x:v>
      </x:c>
      <x:c r="H27" s="17" t="str">
        <x:v>DEC-01；DEC-02；DEC-09；DEC-16；EXT-06</x:v>
      </x:c>
      <x:c r="I27" s="17" t="str">
        <x:v>V5 §2.13；抽奖V2 §3—5；队友审阅L91—94</x:v>
      </x:c>
    </x:row>
    <x:row r="28" ht="75" customHeight="1">
      <x:c r="A28" s="17" t="str">
        <x:v>DEL-23</x:v>
      </x:c>
      <x:c r="B28" s="17" t="str">
        <x:v>个人信息权利、青少年与消费保护</x:v>
      </x:c>
      <x:c r="C28" s="17" t="str">
        <x:v>新增闭环并复用撤回</x:v>
      </x:c>
      <x:c r="D28" s="17" t="str">
        <x:v>查询复制更正删除/注销请求、15工作日平台目标、留存例外；撤回跨上传/商品/生成/分发；年龄/监护/误充、限额冷静期、举报申诉和偏好。</x:v>
      </x:c>
      <x:c r="E28" s="17" t="str">
        <x:v>权益中心可提交并跟进，不仅本地开关；撤回影响、保留依据、处理状态、误识别申诉；营销退订与交易通知区分。</x:v>
      </x:c>
      <x:c r="F28" s="17" t="str">
        <x:v>DEL-01；DEL-02</x:v>
      </x:c>
      <x:c r="G28" s="17" t="str">
        <x:v>privacy_request、retention_hold、withdrawal_event、provider_deletion_result、teen_policy、spend_limit、complaint</x:v>
      </x:c>
      <x:c r="H28" s="17" t="str">
        <x:v>DEC-11；DEC-13；DEC-15；EXT-07</x:v>
      </x:c>
      <x:c r="I28" s="17" t="str">
        <x:v>V5 §2.14；合规包；队友审阅L98</x:v>
      </x:c>
    </x:row>
    <x:row r="29" ht="75" customHeight="1">
      <x:c r="A29" s="17" t="str">
        <x:v>DEL-24</x:v>
      </x:c>
      <x:c r="B29" s="17" t="str">
        <x:v>私有素材、内容审核与AI标识全链</x:v>
      </x:c>
      <x:c r="C29" s="17" t="str">
        <x:v>新增/扩展已有文件基础</x:v>
      </x:c>
      <x:c r="D29" s="17" t="str">
        <x:v>上传/生成/发布/下载共用素材审查结果、显隐标识和失败阻断；私有访问、用途、生命周期；SDK清单版本、PIA引用、日志策略和服务证据。</x:v>
      </x:c>
      <x:c r="E29" s="17" t="str">
        <x:v>上传进度/待审/驳回、公开范围、标签说明、下载可用理由；A端审查/SDK与处理清单可维护。</x:v>
      </x:c>
      <x:c r="F29" s="17" t="str">
        <x:v>DEL-01</x:v>
      </x:c>
      <x:c r="G29" s="17" t="str">
        <x:v>media_asset、review_result、label_result、access_decision、sdk_inventory、pia_reference</x:v>
      </x:c>
      <x:c r="H29" s="17" t="str">
        <x:v>EXT-02；EXT-04；EXT-07</x:v>
      </x:c>
      <x:c r="I29" s="17" t="str">
        <x:v>V5 §2.3、2.14；合规包</x:v>
      </x:c>
    </x:row>
    <x:row r="30" ht="75" customHeight="1">
      <x:c r="A30" s="17" t="str">
        <x:v>DEL-25</x:v>
      </x:c>
      <x:c r="B30" s="17" t="str">
        <x:v>MCN独立PC经营与个人轻操作</x:v>
      </x:c>
      <x:c r="C30" s="17" t="str">
        <x:v>扩展现有Web机构基础</x:v>
      </x:c>
      <x:c r="D30" s="17" t="str">
        <x:v>沿用主体成员与主MCN互认合同；委托权限、多艺人批量操作、受派订单、评论客服与看板；独立PC入口和会话范围但不复制主体账。</x:v>
      </x:c>
      <x:c r="E30" s="17" t="str">
        <x:v>现有Web内形成独立MCN工作区/部署入口；App只留个人轻上架/收入；权限矩阵和解除关系提示。</x:v>
      </x:c>
      <x:c r="F30" s="17" t="str">
        <x:v>DEL-01；DEL-03；DEL-05；DEL-08；DEL-12</x:v>
      </x:c>
      <x:c r="G30" s="17" t="str">
        <x:v>mcn_relation、delegation_scope、artist_batch、assignment、mcn_metrics、comment_moderation</x:v>
      </x:c>
      <x:c r="H30" s="17" t="str">
        <x:v>DEC-08；DEC-18</x:v>
      </x:c>
      <x:c r="I30" s="17" t="str">
        <x:v>V5 §2.9；队友审阅L37、L145</x:v>
      </x:c>
    </x:row>
    <x:row r="31" ht="75" customHeight="1">
      <x:c r="A31" s="17" t="str">
        <x:v>DEL-26</x:v>
      </x:c>
      <x:c r="B31" s="17" t="str">
        <x:v>运营CMS总工作台与规则发布</x:v>
      </x:c>
      <x:c r="C31" s="17" t="str">
        <x:v>扩展现有运营，不另造全套后台</x:v>
      </x:c>
      <x:c r="D31" s="17" t="str">
        <x:v>组装各域运营接口与角色范围；字段模板/奖池/券/费率发布审批、版本、生效与撤销；制作工单/投诉/对账待办聚合；规则缺值禁发布。</x:v>
      </x:c>
      <x:c r="E31" s="17" t="str">
        <x:v>沿用共同Web组件，运营和MCN入口、菜单、权限与数据边界独立；客服处理和业务总档案，剧本仅A端管理。</x:v>
      </x:c>
      <x:c r="F31" s="17" t="str">
        <x:v>DEL-01</x:v>
      </x:c>
      <x:c r="G31" s="17" t="str">
        <x:v>operator_scope、configuration_draft、publish_approval、effective_version、work_queue</x:v>
      </x:c>
      <x:c r="H31" s="17" t="str">
        <x:v>DEC-18</x:v>
      </x:c>
      <x:c r="I31" s="17" t="str">
        <x:v>V5 §2.12、2.13、2.14、5.1</x:v>
      </x:c>
    </x:row>
    <x:row r="32" ht="75" customHeight="1">
      <x:c r="A32" s="17" t="str">
        <x:v>DEL-27</x:v>
      </x:c>
      <x:c r="B32" s="17" t="str">
        <x:v>非标参演、项目发行与收入凭证</x:v>
      </x:c>
      <x:c r="C32" s="17" t="str">
        <x:v>复用项目及财务后扩展</x:v>
      </x:c>
      <x:c r="D32" s="17" t="str">
        <x:v>一人一剧一价的报价/合同关联角色/数字人；多方会签/内容版本/外部发行结果；当期服务费与未来发行收入分别建可追溯结算来源。</x:v>
      </x:c>
      <x:c r="E32" s="17" t="str">
        <x:v>通告内项目介绍/演出记录、本人参演约定、会签待办、发行状态与合同收入；不做竞拍/公众收益份额。</x:v>
      </x:c>
      <x:c r="F32" s="17" t="str">
        <x:v>DEL-01；DEL-03；DEL-08；DEL-13；DEL-15</x:v>
      </x:c>
      <x:c r="G32" s="17" t="str">
        <x:v>participation_agreement、cast_binding、project_edition、channel_result、statement、revenue_settlement</x:v>
      </x:c>
      <x:c r="H32" s="17" t="str">
        <x:v>DEC-08；DEC-14；EXT-05；DEC-10</x:v>
      </x:c>
      <x:c r="I32" s="17" t="str">
        <x:v>V5 §2.4、2.7、3.3；队友审阅L31、L67</x:v>
      </x:c>
    </x:row>
    <x:row r="33" ht="75" customHeight="1">
      <x:c r="A33" s="17" t="str">
        <x:v>DEL-28</x:v>
      </x:c>
      <x:c r="B33" s="17" t="str">
        <x:v>五Tab迁移、原型缺陷与视觉接线</x:v>
      </x:c>
      <x:c r="C33" s="17" t="str">
        <x:v>真实页面重构＋设计修复</x:v>
      </x:c>
      <x:c r="D33" s="17" t="str">
        <x:v>配合迁移路由和端侧权限，更新OpenAPI错误实例/实现台账；不把静态原型状态计API实现。</x:v>
      </x:c>
      <x:c r="E33" s="17" t="str">
        <x:v>改广场/试镜/通告/消息/我的，旧深链映射与返回保留；电影感组件遵循最新原型并纠正动态字段、必填及模板字符串；双视角入口不恢复。</x:v>
      </x:c>
      <x:c r="F33" s="17" t="str">
        <x:v>DEL-00；DEL-01</x:v>
      </x:c>
      <x:c r="G33" s="17" t="str">
        <x:v>route_migration、screen_contract、view_state、prototype_to_live_mapping</x:v>
      </x:c>
      <x:c r="H33" s="17" t="str"/>
      <x:c r="I33" s="17" t="str">
        <x:v>V5 §1.3、5.4；队友审阅L54、L151—168</x:v>
      </x:c>
    </x:row>
    <x:row r="34" ht="75" customHeight="1">
      <x:c r="A34" s="17" t="str">
        <x:v>DEL-29</x:v>
      </x:c>
      <x:c r="B34" s="17" t="str">
        <x:v>集成验收、迁移恢复与发布证据</x:v>
      </x:c>
      <x:c r="C34" s="17" t="str">
        <x:v>新增V5验收并保留旧回归</x:v>
      </x:c>
      <x:c r="D34" s="17" t="str">
        <x:v>逐业务隔离MySQL/HTTP回归、版本分流/幂等/并发/故障恢复、历史迁移演练、性能目标实测和Provider生产证据台账。</x:v>
      </x:c>
      <x:c r="E34" s="17" t="str">
        <x:v>跨端完整场景、Flutter分析/测试与Android/iOS构建真机、Web正式构建/权限；安装包、视觉与接口提交对应。</x:v>
      </x:c>
      <x:c r="F34" s="17" t="str">
        <x:v>DEL-01；DEL-02；DEL-03；DEL-04；DEL-05；DEL-06；DEL-07；DEL-08；DEL-09；DEL-10；DEL-11；DEL-12；DEL-13；DEL-14；DEL-15；DEL-16；DEL-17；DEL-18；DEL-19；DEL-20；DEL-21；DEL-22；DEL-23；DEL-24；DEL-25；DEL-26；DEL-27；DEL-28</x:v>
      </x:c>
      <x:c r="G34" s="17" t="str">
        <x:v>acceptance_run、source_sha、environment、artifact_hash、provider_evidence、release_decision</x:v>
      </x:c>
      <x:c r="H34" s="17" t="str">
        <x:v>EXT-01；EXT-02；EXT-03；EXT-04；EXT-05；EXT-06；EXT-07</x:v>
      </x:c>
      <x:c r="I34" s="17" t="str">
        <x:v>V5全纲；队友审阅§检查证据与衔接顺序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483fc4486dc54885"/>
  </x:tableParts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1" hidden="0" customWidth="1"/>
    <x:col min="2" max="2" width="37" hidden="0" customWidth="1"/>
    <x:col min="3" max="3" width="30" hidden="0" customWidth="1"/>
    <x:col min="4" max="4" width="23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5" hidden="0" customWidth="1"/>
    <x:col min="11" max="11" width="50" hidden="0" customWidth="1"/>
    <x:col min="12" max="12" width="32" hidden="0" customWidth="1"/>
  </x:cols>
  <x:sheetData>
    <x:row r="1" ht="30" customHeight="1">
      <x:c r="A1" s="3" t="str">
        <x:v>60项配对任务｜所有认领状态保持待确认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6" customHeight="1">
      <x:c r="A2" s="7" t="str">
        <x:v>D1 / 2026-10-16 · PR23@25e6d29 · 此表为执行登记，不是完成率或生产通过证据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30" customHeight="1">
      <x:c r="A4" s="12" t="str">
        <x:v>任务编号</x:v>
      </x:c>
      <x:c r="B4" s="12" t="str">
        <x:v>工作名称</x:v>
      </x:c>
      <x:c r="C4" s="12" t="str">
        <x:v>建议负责人</x:v>
      </x:c>
      <x:c r="D4" s="12" t="str">
        <x:v>实际认领</x:v>
      </x:c>
      <x:c r="E4" s="12" t="str">
        <x:v>实现状态</x:v>
      </x:c>
      <x:c r="F4" s="12" t="str">
        <x:v>测试状态</x:v>
      </x:c>
      <x:c r="G4" s="12" t="str">
        <x:v>交叉审阅</x:v>
      </x:c>
      <x:c r="H4" s="12" t="str">
        <x:v>共同合入</x:v>
      </x:c>
      <x:c r="I4" s="12" t="str">
        <x:v>生产启用</x:v>
      </x:c>
      <x:c r="J4" s="12" t="str">
        <x:v>依赖能力</x:v>
      </x:c>
      <x:c r="K4" s="12" t="str">
        <x:v>所做工作</x:v>
      </x:c>
      <x:c r="L4" s="12" t="str">
        <x:v>验收编号</x:v>
      </x:c>
    </x:row>
    <x:row r="5" ht="75" customHeight="1">
      <x:c r="A5" s="17" t="str">
        <x:v>CORE-DEL-00</x:v>
      </x:c>
      <x:c r="B5" s="17" t="str">
        <x:v>旧阶段归档、PR23合并与V5任务基线—服务端与规则</x:v>
      </x:c>
      <x:c r="C5" s="17" t="str">
        <x:v>chengcongcong222</x:v>
      </x:c>
      <x:c r="D5" s="17"/>
      <x:c r="E5" s="17" t="str">
        <x:v>未开始</x:v>
      </x:c>
      <x:c r="F5" s="17" t="str">
        <x:v>未执行</x:v>
      </x:c>
      <x:c r="G5" s="17" t="str">
        <x:v>未审阅</x:v>
      </x:c>
      <x:c r="H5" s="17" t="str">
        <x:v>未合入</x:v>
      </x:c>
      <x:c r="I5" s="17" t="str">
        <x:v>未启用</x:v>
      </x:c>
      <x:c r="J5" s="17" t="str"/>
      <x:c r="K5" s="17" t="str">
        <x:v>在已授权本地CLI完成合并门禁；以merge保留历史合入integration；保存实际merge SHA；更新原docs/status、任务board、来源与契约台账。</x:v>
      </x:c>
      <x:c r="L5" s="17" t="str">
        <x:v>ACC-DEL-00.01；ACC-DEL-00.02；ACC-DEL-00.03；ACC-DEL-00.04</x:v>
      </x:c>
    </x:row>
    <x:row r="6" ht="75" customHeight="1">
      <x:c r="A6" s="17" t="str">
        <x:v>UX-DEL-00</x:v>
      </x:c>
      <x:c r="B6" s="17" t="str">
        <x:v>旧阶段归档、PR23合并与V5任务基线—App与Web</x:v>
      </x:c>
      <x:c r="C6" s="17" t="str">
        <x:v>FrontendLead（待填写实际GitHub账号）</x:v>
      </x:c>
      <x:c r="D6" s="17"/>
      <x:c r="E6" s="17" t="str">
        <x:v>未开始</x:v>
      </x:c>
      <x:c r="F6" s="17" t="str">
        <x:v>未执行</x:v>
      </x:c>
      <x:c r="G6" s="17" t="str">
        <x:v>未审阅</x:v>
      </x:c>
      <x:c r="H6" s="17" t="str">
        <x:v>未合入</x:v>
      </x:c>
      <x:c r="I6" s="17" t="str">
        <x:v>未启用</x:v>
      </x:c>
      <x:c r="J6" s="17" t="str"/>
      <x:c r="K6" s="17" t="str">
        <x:v>确认本地未推送工作、实际GitHub账号和文件归属；从同一合并点建立ux分支；给出页面迁移清单，不替Core认领。</x:v>
      </x:c>
      <x:c r="L6" s="17" t="str">
        <x:v>ACC-DEL-00.01；ACC-DEL-00.02；ACC-DEL-00.03；ACC-DEL-00.04</x:v>
      </x:c>
    </x:row>
    <x:row r="7" ht="75" customHeight="1">
      <x:c r="A7" s="17" t="str">
        <x:v>CORE-DEL-01</x:v>
      </x:c>
      <x:c r="B7" s="17" t="str">
        <x:v>账号、主体、成员与三端访问—服务端与规则</x:v>
      </x:c>
      <x:c r="C7" s="17" t="str">
        <x:v>chengcongcong222</x:v>
      </x:c>
      <x:c r="D7" s="17"/>
      <x:c r="E7" s="17" t="str">
        <x:v>未开始</x:v>
      </x:c>
      <x:c r="F7" s="17" t="str">
        <x:v>未执行</x:v>
      </x:c>
      <x:c r="G7" s="17" t="str">
        <x:v>未审阅</x:v>
      </x:c>
      <x:c r="H7" s="17" t="str">
        <x:v>未合入</x:v>
      </x:c>
      <x:c r="I7" s="17" t="str">
        <x:v>未启用</x:v>
      </x:c>
      <x:c r="J7" s="17" t="str">
        <x:v>DEL-00</x:v>
      </x:c>
      <x:c r="K7" s="17" t="str">
        <x:v>扩展既有身份与成员模型；统一艺人、买家、星探能力查询；C/B/A会话访问边界，运营不由前台自选授予。</x:v>
      </x:c>
      <x:c r="L7" s="17" t="str">
        <x:v>ACC-DEL-01.01；ACC-DEL-01.02；ACC-DEL-01.03；ACC-DEL-01.04</x:v>
      </x:c>
    </x:row>
    <x:row r="8" ht="75" customHeight="1">
      <x:c r="A8" s="17" t="str">
        <x:v>UX-DEL-01</x:v>
      </x:c>
      <x:c r="B8" s="17" t="str">
        <x:v>账号、主体、成员与三端访问—App与Web</x:v>
      </x:c>
      <x:c r="C8" s="17" t="str">
        <x:v>FrontendLead（待填写实际GitHub账号）</x:v>
      </x:c>
      <x:c r="D8" s="17"/>
      <x:c r="E8" s="17" t="str">
        <x:v>未开始</x:v>
      </x:c>
      <x:c r="F8" s="17" t="str">
        <x:v>未执行</x:v>
      </x:c>
      <x:c r="G8" s="17" t="str">
        <x:v>未审阅</x:v>
      </x:c>
      <x:c r="H8" s="17" t="str">
        <x:v>未合入</x:v>
      </x:c>
      <x:c r="I8" s="17" t="str">
        <x:v>未启用</x:v>
      </x:c>
      <x:c r="J8" s="17" t="str">
        <x:v>DEL-00</x:v>
      </x:c>
      <x:c r="K8" s="17" t="str">
        <x:v>复用登录/退出/主体信息和企业代表权；全员同导航，具体动作显示权限和不足原因；失权清空旧私密内容。</x:v>
      </x:c>
      <x:c r="L8" s="17" t="str">
        <x:v>ACC-DEL-01.01；ACC-DEL-01.02；ACC-DEL-01.03；ACC-DEL-01.04</x:v>
      </x:c>
    </x:row>
    <x:row r="9" ht="75" customHeight="1">
      <x:c r="A9" s="17" t="str">
        <x:v>CORE-DEL-02</x:v>
      </x:c>
      <x:c r="B9" s="17" t="str">
        <x:v>实名年龄、主角光环与认证收费—服务端与规则</x:v>
      </x:c>
      <x:c r="C9" s="17" t="str">
        <x:v>chengcongcong222</x:v>
      </x:c>
      <x:c r="D9" s="17"/>
      <x:c r="E9" s="17" t="str">
        <x:v>未开始</x:v>
      </x:c>
      <x:c r="F9" s="17" t="str">
        <x:v>未执行</x:v>
      </x:c>
      <x:c r="G9" s="17" t="str">
        <x:v>未审阅</x:v>
      </x:c>
      <x:c r="H9" s="17" t="str">
        <x:v>未合入</x:v>
      </x:c>
      <x:c r="I9" s="17" t="str">
        <x:v>未启用</x:v>
      </x:c>
      <x:c r="J9" s="17" t="str">
        <x:v>DEL-01</x:v>
      </x:c>
      <x:c r="K9" s="17" t="str">
        <x:v>实名结果、权利人稳定标识、年龄/监护状态、L1免费与L2/L3审核单；10元审核费接真实支付证据、补件、有效期、申诉。</x:v>
      </x:c>
      <x:c r="L9" s="17" t="str">
        <x:v>ACC-DEL-02.01；ACC-DEL-02.02；ACC-DEL-02.03；ACC-DEL-02.04</x:v>
      </x:c>
    </x:row>
    <x:row r="10" ht="75" customHeight="1">
      <x:c r="A10" s="17" t="str">
        <x:v>UX-DEL-02</x:v>
      </x:c>
      <x:c r="B10" s="17" t="str">
        <x:v>实名年龄、主角光环与认证收费—App与Web</x:v>
      </x:c>
      <x:c r="C10" s="17" t="str">
        <x:v>FrontendLead（待填写实际GitHub账号）</x:v>
      </x:c>
      <x:c r="D10" s="17"/>
      <x:c r="E10" s="17" t="str">
        <x:v>未开始</x:v>
      </x:c>
      <x:c r="F10" s="17" t="str">
        <x:v>未执行</x:v>
      </x:c>
      <x:c r="G10" s="17" t="str">
        <x:v>未审阅</x:v>
      </x:c>
      <x:c r="H10" s="17" t="str">
        <x:v>未合入</x:v>
      </x:c>
      <x:c r="I10" s="17" t="str">
        <x:v>未启用</x:v>
      </x:c>
      <x:c r="J10" s="17" t="str">
        <x:v>DEL-01</x:v>
      </x:c>
      <x:c r="K10" s="17" t="str">
        <x:v>实名与认证分开页面；明确费用和人工审核；未配置/驳回/补料/年龄异议均有去向；不能一勾成年就通过。</x:v>
      </x:c>
      <x:c r="L10" s="17" t="str">
        <x:v>ACC-DEL-02.01；ACC-DEL-02.02；ACC-DEL-02.03；ACC-DEL-02.04</x:v>
      </x:c>
    </x:row>
    <x:row r="11" ht="75" customHeight="1">
      <x:c r="A11" s="17" t="str">
        <x:v>CORE-DEL-03</x:v>
      </x:c>
      <x:c r="B11" s="17" t="str">
        <x:v>多数字人、造型声音及基础创建托管—服务端与规则</x:v>
      </x:c>
      <x:c r="C11" s="17" t="str">
        <x:v>chengcongcong222</x:v>
      </x:c>
      <x:c r="D11" s="17"/>
      <x:c r="E11" s="17" t="str">
        <x:v>未开始</x:v>
      </x:c>
      <x:c r="F11" s="17" t="str">
        <x:v>未执行</x:v>
      </x:c>
      <x:c r="G11" s="17" t="str">
        <x:v>未审阅</x:v>
      </x:c>
      <x:c r="H11" s="17" t="str">
        <x:v>未合入</x:v>
      </x:c>
      <x:c r="I11" s="17" t="str">
        <x:v>未启用</x:v>
      </x:c>
      <x:c r="J11" s="17" t="str">
        <x:v>DEL-01；DEL-02</x:v>
      </x:c>
      <x:c r="K11" s="17" t="str">
        <x:v>复用works/consent档案，增加数字人—真人权利人—造型/声音版本—外部资产映射；创建60/人、托管29/月业务及失败返还；不建深度影视生成器。</x:v>
      </x:c>
      <x:c r="L11" s="17" t="str">
        <x:v>ACC-DEL-03.01；ACC-DEL-03.02；ACC-DEL-03.03；ACC-DEL-03.04</x:v>
      </x:c>
    </x:row>
    <x:row r="12" ht="75" customHeight="1">
      <x:c r="A12" s="17" t="str">
        <x:v>UX-DEL-03</x:v>
      </x:c>
      <x:c r="B12" s="17" t="str">
        <x:v>多数字人、造型声音及基础创建托管—App与Web</x:v>
      </x:c>
      <x:c r="C12" s="17" t="str">
        <x:v>FrontendLead（待填写实际GitHub账号）</x:v>
      </x:c>
      <x:c r="D12" s="17"/>
      <x:c r="E12" s="17" t="str">
        <x:v>未开始</x:v>
      </x:c>
      <x:c r="F12" s="17" t="str">
        <x:v>未执行</x:v>
      </x:c>
      <x:c r="G12" s="17" t="str">
        <x:v>未审阅</x:v>
      </x:c>
      <x:c r="H12" s="17" t="str">
        <x:v>未合入</x:v>
      </x:c>
      <x:c r="I12" s="17" t="str">
        <x:v>未启用</x:v>
      </x:c>
      <x:c r="J12" s="17" t="str">
        <x:v>DEL-01；DEL-02</x:v>
      </x:c>
      <x:c r="K12" s="17" t="str">
        <x:v>我的艺人/多数字人列表、造型声音、资料公开选择、创建处理中/失败/待权限、托管权益和取消续订。</x:v>
      </x:c>
      <x:c r="L12" s="17" t="str">
        <x:v>ACC-DEL-03.01；ACC-DEL-03.02；ACC-DEL-03.03；ACC-DEL-03.04</x:v>
      </x:c>
    </x:row>
    <x:row r="13" ht="75" customHeight="1">
      <x:c r="A13" s="17" t="str">
        <x:v>CORE-DEL-04</x:v>
      </x:c>
      <x:c r="B13" s="17" t="str">
        <x:v>广场艺人目录、城市筛选与匹配—服务端与规则</x:v>
      </x:c>
      <x:c r="C13" s="17" t="str">
        <x:v>chengcongcong222</x:v>
      </x:c>
      <x:c r="D13" s="17"/>
      <x:c r="E13" s="17" t="str">
        <x:v>未开始</x:v>
      </x:c>
      <x:c r="F13" s="17" t="str">
        <x:v>未执行</x:v>
      </x:c>
      <x:c r="G13" s="17" t="str">
        <x:v>未审阅</x:v>
      </x:c>
      <x:c r="H13" s="17" t="str">
        <x:v>未合入</x:v>
      </x:c>
      <x:c r="I13" s="17" t="str">
        <x:v>未启用</x:v>
      </x:c>
      <x:c r="J13" s="17" t="str">
        <x:v>DEL-01；DEL-03</x:v>
      </x:c>
      <x:c r="K13" s="17" t="str">
        <x:v>从已审核私有档案生成公开投影；按城市/价格/认证/评分检索；位置权限拒绝支持手动城市；AI匹配能力独立启用。</x:v>
      </x:c>
      <x:c r="L13" s="17" t="str">
        <x:v>ACC-DEL-04.01；ACC-DEL-04.02；ACC-DEL-04.03；ACC-DEL-04.04</x:v>
      </x:c>
    </x:row>
    <x:row r="14" ht="75" customHeight="1">
      <x:c r="A14" s="17" t="str">
        <x:v>UX-DEL-04</x:v>
      </x:c>
      <x:c r="B14" s="17" t="str">
        <x:v>广场艺人目录、城市筛选与匹配—App与Web</x:v>
      </x:c>
      <x:c r="C14" s="17" t="str">
        <x:v>FrontendLead（待填写实际GitHub账号）</x:v>
      </x:c>
      <x:c r="D14" s="17"/>
      <x:c r="E14" s="17" t="str">
        <x:v>未开始</x:v>
      </x:c>
      <x:c r="F14" s="17" t="str">
        <x:v>未执行</x:v>
      </x:c>
      <x:c r="G14" s="17" t="str">
        <x:v>未审阅</x:v>
      </x:c>
      <x:c r="H14" s="17" t="str">
        <x:v>未合入</x:v>
      </x:c>
      <x:c r="I14" s="17" t="str">
        <x:v>未启用</x:v>
      </x:c>
      <x:c r="J14" s="17" t="str">
        <x:v>DEL-01；DEL-03</x:v>
      </x:c>
      <x:c r="K14" s="17" t="str">
        <x:v>电影感艺人货架、搜索筛选、详情、试听、公开作品、找出品人入口；区分广场发现与仅公开接单艺人的试镜。</x:v>
      </x:c>
      <x:c r="L14" s="17" t="str">
        <x:v>ACC-DEL-04.01；ACC-DEL-04.02；ACC-DEL-04.03；ACC-DEL-04.04</x:v>
      </x:c>
    </x:row>
    <x:row r="15" ht="75" customHeight="1">
      <x:c r="A15" s="17" t="str">
        <x:v>CORE-DEL-05</x:v>
      </x:c>
      <x:c r="B15" s="17" t="str">
        <x:v>艺人视频商品上架与内容运营—服务端与规则</x:v>
      </x:c>
      <x:c r="C15" s="17" t="str">
        <x:v>chengcongcong222</x:v>
      </x:c>
      <x:c r="D15" s="17"/>
      <x:c r="E15" s="17" t="str">
        <x:v>未开始</x:v>
      </x:c>
      <x:c r="F15" s="17" t="str">
        <x:v>未执行</x:v>
      </x:c>
      <x:c r="G15" s="17" t="str">
        <x:v>未审阅</x:v>
      </x:c>
      <x:c r="H15" s="17" t="str">
        <x:v>未合入</x:v>
      </x:c>
      <x:c r="I15" s="17" t="str">
        <x:v>未启用</x:v>
      </x:c>
      <x:c r="J15" s="17" t="str">
        <x:v>DEL-01；DEL-03；DEL-24</x:v>
      </x:c>
      <x:c r="K15" s="17" t="str">
        <x:v>增加现成视频、代做样片服务、私人预览等对象类型；复用商品规格版本和内容/权利双审，公开素材与私有文件分离。</x:v>
      </x:c>
      <x:c r="L15" s="17" t="str">
        <x:v>ACC-DEL-05.01；ACC-DEL-05.02；ACC-DEL-05.03；ACC-DEL-05.04</x:v>
      </x:c>
    </x:row>
    <x:row r="16" ht="75" customHeight="1">
      <x:c r="A16" s="17" t="str">
        <x:v>UX-DEL-05</x:v>
      </x:c>
      <x:c r="B16" s="17" t="str">
        <x:v>艺人视频商品上架与内容运营—App与Web</x:v>
      </x:c>
      <x:c r="C16" s="17" t="str">
        <x:v>FrontendLead（待填写实际GitHub账号）</x:v>
      </x:c>
      <x:c r="D16" s="17"/>
      <x:c r="E16" s="17" t="str">
        <x:v>未开始</x:v>
      </x:c>
      <x:c r="F16" s="17" t="str">
        <x:v>未执行</x:v>
      </x:c>
      <x:c r="G16" s="17" t="str">
        <x:v>未审阅</x:v>
      </x:c>
      <x:c r="H16" s="17" t="str">
        <x:v>未合入</x:v>
      </x:c>
      <x:c r="I16" s="17" t="str">
        <x:v>未启用</x:v>
      </x:c>
      <x:c r="J16" s="17" t="str">
        <x:v>DEL-01；DEL-03；DEL-24</x:v>
      </x:c>
      <x:c r="K16" s="17" t="str">
        <x:v>个人轻上架、MCN批量上架、视频货架与详情、带锁全片、许可摘要、运营栏目/推荐/节日套餐。</x:v>
      </x:c>
      <x:c r="L16" s="17" t="str">
        <x:v>ACC-DEL-05.01；ACC-DEL-05.02；ACC-DEL-05.03；ACC-DEL-05.04</x:v>
      </x:c>
    </x:row>
    <x:row r="17" ht="75" customHeight="1">
      <x:c r="A17" s="17" t="str">
        <x:v>CORE-DEL-06</x:v>
      </x:c>
      <x:c r="B17" s="17" t="str">
        <x:v>现成视频的购买、许可和受控下载—服务端与规则</x:v>
      </x:c>
      <x:c r="C17" s="17" t="str">
        <x:v>chengcongcong222</x:v>
      </x:c>
      <x:c r="D17" s="17"/>
      <x:c r="E17" s="17" t="str">
        <x:v>未开始</x:v>
      </x:c>
      <x:c r="F17" s="17" t="str">
        <x:v>未执行</x:v>
      </x:c>
      <x:c r="G17" s="17" t="str">
        <x:v>未审阅</x:v>
      </x:c>
      <x:c r="H17" s="17" t="str">
        <x:v>未合入</x:v>
      </x:c>
      <x:c r="I17" s="17" t="str">
        <x:v>未启用</x:v>
      </x:c>
      <x:c r="J17" s="17" t="str">
        <x:v>DEL-05；DEL-07；DEL-08</x:v>
      </x:c>
      <x:c r="K17" s="17" t="str">
        <x:v>在既有trade上增加现货订单/授权权益；受信付款确认后发一次权益；完成可播放/下载记录、版本、撤权和售后。</x:v>
      </x:c>
      <x:c r="L17" s="17" t="str">
        <x:v>ACC-DEL-06.01；ACC-DEL-06.02；ACC-DEL-06.03；ACC-DEL-06.04</x:v>
      </x:c>
    </x:row>
    <x:row r="18" ht="75" customHeight="1">
      <x:c r="A18" s="17" t="str">
        <x:v>UX-DEL-06</x:v>
      </x:c>
      <x:c r="B18" s="17" t="str">
        <x:v>现成视频的购买、许可和受控下载—App与Web</x:v>
      </x:c>
      <x:c r="C18" s="17" t="str">
        <x:v>FrontendLead（待填写实际GitHub账号）</x:v>
      </x:c>
      <x:c r="D18" s="17"/>
      <x:c r="E18" s="17" t="str">
        <x:v>未开始</x:v>
      </x:c>
      <x:c r="F18" s="17" t="str">
        <x:v>未执行</x:v>
      </x:c>
      <x:c r="G18" s="17" t="str">
        <x:v>未审阅</x:v>
      </x:c>
      <x:c r="H18" s="17" t="str">
        <x:v>未合入</x:v>
      </x:c>
      <x:c r="I18" s="17" t="str">
        <x:v>未启用</x:v>
      </x:c>
      <x:c r="J18" s="17" t="str">
        <x:v>DEL-05；DEL-07；DEL-08</x:v>
      </x:c>
      <x:c r="K18" s="17" t="str">
        <x:v>现货商品→权益确认→收银→解锁→受控下载，不进入故事卡/人工报价/制作等待。</x:v>
      </x:c>
      <x:c r="L18" s="17" t="str">
        <x:v>ACC-DEL-06.01；ACC-DEL-06.02；ACC-DEL-06.03；ACC-DEL-06.04</x:v>
      </x:c>
    </x:row>
    <x:row r="19" ht="75" customHeight="1">
      <x:c r="A19" s="17" t="str">
        <x:v>CORE-DEL-07</x:v>
      </x:c>
      <x:c r="B19" s="17" t="str">
        <x:v>报价合同、各商品收银与退款恢复—服务端与规则</x:v>
      </x:c>
      <x:c r="C19" s="17" t="str">
        <x:v>chengcongcong222</x:v>
      </x:c>
      <x:c r="D19" s="17"/>
      <x:c r="E19" s="17" t="str">
        <x:v>未开始</x:v>
      </x:c>
      <x:c r="F19" s="17" t="str">
        <x:v>未执行</x:v>
      </x:c>
      <x:c r="G19" s="17" t="str">
        <x:v>未审阅</x:v>
      </x:c>
      <x:c r="H19" s="17" t="str">
        <x:v>未合入</x:v>
      </x:c>
      <x:c r="I19" s="17" t="str">
        <x:v>未启用</x:v>
      </x:c>
      <x:c r="J19" s="17" t="str">
        <x:v>DEL-01</x:v>
      </x:c>
      <x:c r="K19" s="17" t="str">
        <x:v>复用trade订单/合同快照；按现货、人工定制、样片制作、试镜、创建/订阅配置付款计划；支付意图、SDK回跳查单、未知结果、退款与补差。</x:v>
      </x:c>
      <x:c r="L19" s="17" t="str">
        <x:v>ACC-DEL-07.01；ACC-DEL-07.02；ACC-DEL-07.03；ACC-DEL-07.04</x:v>
      </x:c>
    </x:row>
    <x:row r="20" ht="75" customHeight="1">
      <x:c r="A20" s="17" t="str">
        <x:v>UX-DEL-07</x:v>
      </x:c>
      <x:c r="B20" s="17" t="str">
        <x:v>报价合同、各商品收银与退款恢复—App与Web</x:v>
      </x:c>
      <x:c r="C20" s="17" t="str">
        <x:v>FrontendLead（待填写实际GitHub账号）</x:v>
      </x:c>
      <x:c r="D20" s="17"/>
      <x:c r="E20" s="17" t="str">
        <x:v>未开始</x:v>
      </x:c>
      <x:c r="F20" s="17" t="str">
        <x:v>未执行</x:v>
      </x:c>
      <x:c r="G20" s="17" t="str">
        <x:v>未审阅</x:v>
      </x:c>
      <x:c r="H20" s="17" t="str">
        <x:v>未合入</x:v>
      </x:c>
      <x:c r="I20" s="17" t="str">
        <x:v>未启用</x:v>
      </x:c>
      <x:c r="J20" s="17" t="str">
        <x:v>DEL-01</x:v>
      </x:c>
      <x:c r="K20" s="17" t="str">
        <x:v>统一收银壳但按商品展示付款条件；接原生支付/回跳与失败恢复，不在客户端直接置paid。</x:v>
      </x:c>
      <x:c r="L20" s="17" t="str">
        <x:v>ACC-DEL-07.01；ACC-DEL-07.02；ACC-DEL-07.03；ACC-DEL-07.04</x:v>
      </x:c>
    </x:row>
    <x:row r="21" ht="75" customHeight="1">
      <x:c r="A21" s="17" t="str">
        <x:v>CORE-DEL-08</x:v>
      </x:c>
      <x:c r="B21" s="17" t="str">
        <x:v>V5分账规则、历史订单与财务校验迁移—服务端与规则</x:v>
      </x:c>
      <x:c r="C21" s="17" t="str">
        <x:v>chengcongcong222</x:v>
      </x:c>
      <x:c r="D21" s="17"/>
      <x:c r="E21" s="17" t="str">
        <x:v>未开始</x:v>
      </x:c>
      <x:c r="F21" s="17" t="str">
        <x:v>未执行</x:v>
      </x:c>
      <x:c r="G21" s="17" t="str">
        <x:v>未审阅</x:v>
      </x:c>
      <x:c r="H21" s="17" t="str">
        <x:v>未合入</x:v>
      </x:c>
      <x:c r="I21" s="17" t="str">
        <x:v>未启用</x:v>
      </x:c>
      <x:c r="J21" s="17" t="str">
        <x:v>DEL-01</x:v>
      </x:c>
      <x:c r="K21" s="17" t="str">
        <x:v>新增V5两层规则版本；独立MCN份额/推荐返佣；同时修改计算、应付来源校验、快照、退款冲回、尾差、税票证据及批次对账；旧版不可覆盖。</x:v>
      </x:c>
      <x:c r="L21" s="17" t="str">
        <x:v>ACC-DEL-08.01；ACC-DEL-08.02；ACC-DEL-08.03；ACC-DEL-08.04</x:v>
      </x:c>
    </x:row>
    <x:row r="22" ht="75" customHeight="1">
      <x:c r="A22" s="17" t="str">
        <x:v>UX-DEL-08</x:v>
      </x:c>
      <x:c r="B22" s="17" t="str">
        <x:v>V5分账规则、历史订单与财务校验迁移—App与Web</x:v>
      </x:c>
      <x:c r="C22" s="17" t="str">
        <x:v>FrontendLead（待填写实际GitHub账号）</x:v>
      </x:c>
      <x:c r="D22" s="17"/>
      <x:c r="E22" s="17" t="str">
        <x:v>未开始</x:v>
      </x:c>
      <x:c r="F22" s="17" t="str">
        <x:v>未执行</x:v>
      </x:c>
      <x:c r="G22" s="17" t="str">
        <x:v>未审阅</x:v>
      </x:c>
      <x:c r="H22" s="17" t="str">
        <x:v>未合入</x:v>
      </x:c>
      <x:c r="I22" s="17" t="str">
        <x:v>未启用</x:v>
      </x:c>
      <x:c r="J22" s="17" t="str">
        <x:v>DEL-01</x:v>
      </x:c>
      <x:c r="K22" s="17" t="str">
        <x:v>报价/订单/MCN/财务展示同一版本的计算明细；不把所有余额当现金可提现；异常需待核查。</x:v>
      </x:c>
      <x:c r="L22" s="17" t="str">
        <x:v>ACC-DEL-08.01；ACC-DEL-08.02；ACC-DEL-08.03；ACC-DEL-08.04</x:v>
      </x:c>
    </x:row>
    <x:row r="23" ht="75" customHeight="1">
      <x:c r="A23" s="17" t="str">
        <x:v>CORE-DEL-09</x:v>
      </x:c>
      <x:c r="B23" s="17" t="str">
        <x:v>真实试镜预约、到场取样与清分—服务端与规则</x:v>
      </x:c>
      <x:c r="C23" s="17" t="str">
        <x:v>chengcongcong222</x:v>
      </x:c>
      <x:c r="D23" s="17"/>
      <x:c r="E23" s="17" t="str">
        <x:v>未开始</x:v>
      </x:c>
      <x:c r="F23" s="17" t="str">
        <x:v>未执行</x:v>
      </x:c>
      <x:c r="G23" s="17" t="str">
        <x:v>未审阅</x:v>
      </x:c>
      <x:c r="H23" s="17" t="str">
        <x:v>未合入</x:v>
      </x:c>
      <x:c r="I23" s="17" t="str">
        <x:v>未启用</x:v>
      </x:c>
      <x:c r="J23" s="17" t="str">
        <x:v>DEL-02；DEL-03；DEL-07；DEL-08；DEL-12</x:v>
      </x:c>
      <x:c r="K23" s="17" t="str">
        <x:v>公开接试镜/标价设置，城市/时间地点/真实用途，先付后接拒，未接全退；6照1视频交付、按约到场确认、定时和争议，底板授权入库。</x:v>
      </x:c>
      <x:c r="L23" s="17" t="str">
        <x:v>ACC-DEL-09.01；ACC-DEL-09.02；ACC-DEL-09.03；ACC-DEL-09.04</x:v>
      </x:c>
    </x:row>
    <x:row r="24" ht="75" customHeight="1">
      <x:c r="A24" s="17" t="str">
        <x:v>UX-DEL-09</x:v>
      </x:c>
      <x:c r="B24" s="17" t="str">
        <x:v>真实试镜预约、到场取样与清分—App与Web</x:v>
      </x:c>
      <x:c r="C24" s="17" t="str">
        <x:v>FrontendLead（待填写实际GitHub账号）</x:v>
      </x:c>
      <x:c r="D24" s="17"/>
      <x:c r="E24" s="17" t="str">
        <x:v>未开始</x:v>
      </x:c>
      <x:c r="F24" s="17" t="str">
        <x:v>未执行</x:v>
      </x:c>
      <x:c r="G24" s="17" t="str">
        <x:v>未审阅</x:v>
      </x:c>
      <x:c r="H24" s="17" t="str">
        <x:v>未合入</x:v>
      </x:c>
      <x:c r="I24" s="17" t="str">
        <x:v>未启用</x:v>
      </x:c>
      <x:c r="J24" s="17" t="str">
        <x:v>DEL-02；DEL-03；DEL-07；DEL-08；DEL-12</x:v>
      </x:c>
      <x:c r="K24" s="17" t="str">
        <x:v>仅公开接单艺人出现在试镜页；一口价含交通，无主题/职业固定菜单；行程、安全、交付和客服。</x:v>
      </x:c>
      <x:c r="L24" s="17" t="str">
        <x:v>ACC-DEL-09.01；ACC-DEL-09.02；ACC-DEL-09.03；ACC-DEL-09.04</x:v>
      </x:c>
    </x:row>
    <x:row r="25" ht="75" customHeight="1">
      <x:c r="A25" s="17" t="str">
        <x:v>CORE-DEL-10</x:v>
      </x:c>
      <x:c r="B25" s="17" t="str">
        <x:v>六类通告与发布资格—服务端与规则</x:v>
      </x:c>
      <x:c r="C25" s="17" t="str">
        <x:v>chengcongcong222</x:v>
      </x:c>
      <x:c r="D25" s="17"/>
      <x:c r="E25" s="17" t="str">
        <x:v>未开始</x:v>
      </x:c>
      <x:c r="F25" s="17" t="str">
        <x:v>未执行</x:v>
      </x:c>
      <x:c r="G25" s="17" t="str">
        <x:v>未审阅</x:v>
      </x:c>
      <x:c r="H25" s="17" t="str">
        <x:v>未合入</x:v>
      </x:c>
      <x:c r="I25" s="17" t="str">
        <x:v>未启用</x:v>
      </x:c>
      <x:c r="J25" s="17" t="str">
        <x:v>DEL-01；DEL-17</x:v>
      </x:c>
      <x:c r="K25" s="17" t="str">
        <x:v>剧/商演/商单/活动/招募/平台通告类型和动态字段，城市时限、审核、发布权限、失效/下架；关联项目或需求而非直接成交订单。</x:v>
      </x:c>
      <x:c r="L25" s="17" t="str">
        <x:v>ACC-DEL-10.01；ACC-DEL-10.02；ACC-DEL-10.03；ACC-DEL-10.04</x:v>
      </x:c>
    </x:row>
    <x:row r="26" ht="75" customHeight="1">
      <x:c r="A26" s="17" t="str">
        <x:v>UX-DEL-10</x:v>
      </x:c>
      <x:c r="B26" s="17" t="str">
        <x:v>六类通告与发布资格—App与Web</x:v>
      </x:c>
      <x:c r="C26" s="17" t="str">
        <x:v>FrontendLead（待填写实际GitHub账号）</x:v>
      </x:c>
      <x:c r="D26" s="17"/>
      <x:c r="E26" s="17" t="str">
        <x:v>未开始</x:v>
      </x:c>
      <x:c r="F26" s="17" t="str">
        <x:v>未执行</x:v>
      </x:c>
      <x:c r="G26" s="17" t="str">
        <x:v>未审阅</x:v>
      </x:c>
      <x:c r="H26" s="17" t="str">
        <x:v>未合入</x:v>
      </x:c>
      <x:c r="I26" s="17" t="str">
        <x:v>未启用</x:v>
      </x:c>
      <x:c r="J26" s="17" t="str">
        <x:v>DEL-01；DEL-17</x:v>
      </x:c>
      <x:c r="K26" s="17" t="str">
        <x:v>通告列表、分类详情、类型化发布和投稿按钮；平台官方通告仅运营；不强迫每类都填到场设备。</x:v>
      </x:c>
      <x:c r="L26" s="17" t="str">
        <x:v>ACC-DEL-10.01；ACC-DEL-10.02；ACC-DEL-10.03；ACC-DEL-10.04</x:v>
      </x:c>
    </x:row>
    <x:row r="27" ht="75" customHeight="1">
      <x:c r="A27" s="17" t="str">
        <x:v>CORE-DEL-11</x:v>
      </x:c>
      <x:c r="B27" s="17" t="str">
        <x:v>意向卡、反向投稿与客服转单—服务端与规则</x:v>
      </x:c>
      <x:c r="C27" s="17" t="str">
        <x:v>chengcongcong222</x:v>
      </x:c>
      <x:c r="D27" s="17"/>
      <x:c r="E27" s="17" t="str">
        <x:v>未开始</x:v>
      </x:c>
      <x:c r="F27" s="17" t="str">
        <x:v>未执行</x:v>
      </x:c>
      <x:c r="G27" s="17" t="str">
        <x:v>未审阅</x:v>
      </x:c>
      <x:c r="H27" s="17" t="str">
        <x:v>未合入</x:v>
      </x:c>
      <x:c r="I27" s="17" t="str">
        <x:v>未启用</x:v>
      </x:c>
      <x:c r="J27" s="17" t="str">
        <x:v>DEL-01；DEL-03；DEL-10</x:v>
      </x:c>
      <x:c r="K27" s="17" t="str">
        <x:v>面向买家/通告的三类投稿、意向卡、幂等回复、状态/时限、客服工单、关联正式报价与订单。</x:v>
      </x:c>
      <x:c r="L27" s="17" t="str">
        <x:v>ACC-DEL-11.01；ACC-DEL-11.02；ACC-DEL-11.03；ACC-DEL-11.04</x:v>
      </x:c>
    </x:row>
    <x:row r="28" ht="75" customHeight="1">
      <x:c r="A28" s="17" t="str">
        <x:v>UX-DEL-11</x:v>
      </x:c>
      <x:c r="B28" s="17" t="str">
        <x:v>意向卡、反向投稿与客服转单—App与Web</x:v>
      </x:c>
      <x:c r="C28" s="17" t="str">
        <x:v>FrontendLead（待填写实际GitHub账号）</x:v>
      </x:c>
      <x:c r="D28" s="17"/>
      <x:c r="E28" s="17" t="str">
        <x:v>未开始</x:v>
      </x:c>
      <x:c r="F28" s="17" t="str">
        <x:v>未执行</x:v>
      </x:c>
      <x:c r="G28" s="17" t="str">
        <x:v>未审阅</x:v>
      </x:c>
      <x:c r="H28" s="17" t="str">
        <x:v>未合入</x:v>
      </x:c>
      <x:c r="I28" s="17" t="str">
        <x:v>未启用</x:v>
      </x:c>
      <x:c r="J28" s="17" t="str">
        <x:v>DEL-01；DEL-03；DEL-10</x:v>
      </x:c>
      <x:c r="K28" s="17" t="str">
        <x:v>我的投稿/被投稿、形象/想演角色/自己做剧表单、感兴趣/婉拒、待客服、转入订单的追踪。</x:v>
      </x:c>
      <x:c r="L28" s="17" t="str">
        <x:v>ACC-DEL-11.01；ACC-DEL-11.02；ACC-DEL-11.03；ACC-DEL-11.04</x:v>
      </x:c>
    </x:row>
    <x:row r="29" ht="75" customHeight="1">
      <x:c r="A29" s="17" t="str">
        <x:v>CORE-DEL-12</x:v>
      </x:c>
      <x:c r="B29" s="17" t="str">
        <x:v>订单会话、通知与客服权限—服务端与规则</x:v>
      </x:c>
      <x:c r="C29" s="17" t="str">
        <x:v>chengcongcong222</x:v>
      </x:c>
      <x:c r="D29" s="17"/>
      <x:c r="E29" s="17" t="str">
        <x:v>未开始</x:v>
      </x:c>
      <x:c r="F29" s="17" t="str">
        <x:v>未执行</x:v>
      </x:c>
      <x:c r="G29" s="17" t="str">
        <x:v>未审阅</x:v>
      </x:c>
      <x:c r="H29" s="17" t="str">
        <x:v>未合入</x:v>
      </x:c>
      <x:c r="I29" s="17" t="str">
        <x:v>未启用</x:v>
      </x:c>
      <x:c r="J29" s="17" t="str">
        <x:v>DEL-01</x:v>
      </x:c>
      <x:c r="K29" s="17" t="str">
        <x:v>复用通知基础，新增会话列表/参与者/资格来源、文本与业务卡片/媒体、客服加入、敏感内容处理、已读、冻结和归档；补差走交易服务。</x:v>
      </x:c>
      <x:c r="L29" s="17" t="str">
        <x:v>ACC-DEL-12.01；ACC-DEL-12.02；ACC-DEL-12.03；ACC-DEL-12.04</x:v>
      </x:c>
    </x:row>
    <x:row r="30" ht="75" customHeight="1">
      <x:c r="A30" s="17" t="str">
        <x:v>UX-DEL-12</x:v>
      </x:c>
      <x:c r="B30" s="17" t="str">
        <x:v>订单会话、通知与客服权限—App与Web</x:v>
      </x:c>
      <x:c r="C30" s="17" t="str">
        <x:v>FrontendLead（待填写实际GitHub账号）</x:v>
      </x:c>
      <x:c r="D30" s="17"/>
      <x:c r="E30" s="17" t="str">
        <x:v>未开始</x:v>
      </x:c>
      <x:c r="F30" s="17" t="str">
        <x:v>未执行</x:v>
      </x:c>
      <x:c r="G30" s="17" t="str">
        <x:v>未审阅</x:v>
      </x:c>
      <x:c r="H30" s="17" t="str">
        <x:v>未合入</x:v>
      </x:c>
      <x:c r="I30" s="17" t="str">
        <x:v>未启用</x:v>
      </x:c>
      <x:c r="J30" s="17" t="str">
        <x:v>DEL-01</x:v>
      </x:c>
      <x:c r="K30" s="17" t="str">
        <x:v>消息三分区：订单会话、单向投稿、系统通知；权限不足有真实原因，客服与交易对方入口分开。</x:v>
      </x:c>
      <x:c r="L30" s="17" t="str">
        <x:v>ACC-DEL-12.01；ACC-DEL-12.02；ACC-DEL-12.03；ACC-DEL-12.04</x:v>
      </x:c>
    </x:row>
    <x:row r="31" ht="75" customHeight="1">
      <x:c r="A31" s="17" t="str">
        <x:v>CORE-DEL-13</x:v>
      </x:c>
      <x:c r="B31" s="17" t="str">
        <x:v>剧本商务供稿与运营入库—服务端与规则</x:v>
      </x:c>
      <x:c r="C31" s="17" t="str">
        <x:v>chengcongcong222</x:v>
      </x:c>
      <x:c r="D31" s="17"/>
      <x:c r="E31" s="17" t="str">
        <x:v>未开始</x:v>
      </x:c>
      <x:c r="F31" s="17" t="str">
        <x:v>未执行</x:v>
      </x:c>
      <x:c r="G31" s="17" t="str">
        <x:v>未审阅</x:v>
      </x:c>
      <x:c r="H31" s="17" t="str">
        <x:v>未合入</x:v>
      </x:c>
      <x:c r="I31" s="17" t="str">
        <x:v>未启用</x:v>
      </x:c>
      <x:c r="J31" s="17" t="str">
        <x:v>DEL-01；DEL-24</x:v>
      </x:c>
      <x:c r="K31" s="17" t="str">
        <x:v>限制新增作者自助上传和独立版权商城；A端代录作者、权利链、作品版本及项目用法；保留旧合同、许可和文件读权限；非标许可走报价合同。</x:v>
      </x:c>
      <x:c r="L31" s="17" t="str">
        <x:v>ACC-DEL-13.01；ACC-DEL-13.02；ACC-DEL-13.03；ACC-DEL-13.04</x:v>
      </x:c>
    </x:row>
    <x:row r="32" ht="75" customHeight="1">
      <x:c r="A32" s="17" t="str">
        <x:v>UX-DEL-13</x:v>
      </x:c>
      <x:c r="B32" s="17" t="str">
        <x:v>剧本商务供稿与运营入库—App与Web</x:v>
      </x:c>
      <x:c r="C32" s="17" t="str">
        <x:v>FrontendLead（待填写实际GitHub账号）</x:v>
      </x:c>
      <x:c r="D32" s="17"/>
      <x:c r="E32" s="17" t="str">
        <x:v>未开始</x:v>
      </x:c>
      <x:c r="F32" s="17" t="str">
        <x:v>未执行</x:v>
      </x:c>
      <x:c r="G32" s="17" t="str">
        <x:v>未审阅</x:v>
      </x:c>
      <x:c r="H32" s="17" t="str">
        <x:v>未合入</x:v>
      </x:c>
      <x:c r="I32" s="17" t="str">
        <x:v>未启用</x:v>
      </x:c>
      <x:c r="J32" s="17" t="str">
        <x:v>DEL-01；DEL-24</x:v>
      </x:c>
      <x:c r="K32" s="17" t="str">
        <x:v>移除公开作者入驻/新投稿入口，历史记录继续可查；运营剧本库与受控项目材料，不新建D端。</x:v>
      </x:c>
      <x:c r="L32" s="17" t="str">
        <x:v>ACC-DEL-13.01；ACC-DEL-13.02；ACC-DEL-13.03；ACC-DEL-13.04</x:v>
      </x:c>
    </x:row>
    <x:row r="33" ht="75" customHeight="1">
      <x:c r="A33" s="17" t="str">
        <x:v>CORE-DEL-14</x:v>
      </x:c>
      <x:c r="B33" s="17" t="str">
        <x:v>定制品类与动态故事采集—服务端与规则</x:v>
      </x:c>
      <x:c r="C33" s="17" t="str">
        <x:v>chengcongcong222</x:v>
      </x:c>
      <x:c r="D33" s="17"/>
      <x:c r="E33" s="17" t="str">
        <x:v>未开始</x:v>
      </x:c>
      <x:c r="F33" s="17" t="str">
        <x:v>未执行</x:v>
      </x:c>
      <x:c r="G33" s="17" t="str">
        <x:v>未审阅</x:v>
      </x:c>
      <x:c r="H33" s="17" t="str">
        <x:v>未合入</x:v>
      </x:c>
      <x:c r="I33" s="17" t="str">
        <x:v>未启用</x:v>
      </x:c>
      <x:c r="J33" s="17" t="str">
        <x:v>DEL-01；DEL-24</x:v>
      </x:c>
      <x:c r="K33" s="17" t="str">
        <x:v>品类与采集字段发布版本、草稿/正式提交/补件；字段目的/最小化/附件私有；提交为待受理需求，关联后续quote和production。</x:v>
      </x:c>
      <x:c r="L33" s="17" t="str">
        <x:v>ACC-DEL-14.01；ACC-DEL-14.02；ACC-DEL-14.03；ACC-DEL-14.04</x:v>
      </x:c>
    </x:row>
    <x:row r="34" ht="75" customHeight="1">
      <x:c r="A34" s="17" t="str">
        <x:v>UX-DEL-14</x:v>
      </x:c>
      <x:c r="B34" s="17" t="str">
        <x:v>定制品类与动态故事采集—App与Web</x:v>
      </x:c>
      <x:c r="C34" s="17" t="str">
        <x:v>FrontendLead（待填写实际GitHub账号）</x:v>
      </x:c>
      <x:c r="D34" s="17"/>
      <x:c r="E34" s="17" t="str">
        <x:v>未开始</x:v>
      </x:c>
      <x:c r="F34" s="17" t="str">
        <x:v>未执行</x:v>
      </x:c>
      <x:c r="G34" s="17" t="str">
        <x:v>未审阅</x:v>
      </x:c>
      <x:c r="H34" s="17" t="str">
        <x:v>未合入</x:v>
      </x:c>
      <x:c r="I34" s="17" t="str">
        <x:v>未启用</x:v>
      </x:c>
      <x:c r="J34" s="17" t="str">
        <x:v>DEL-01；DEL-24</x:v>
      </x:c>
      <x:c r="K34" s="17" t="str">
        <x:v>爱情婚礼、家族、人生、创业、宠物等真实动态表单；保存恢复、必填错误、补件、素材用途/授权提醒。</x:v>
      </x:c>
      <x:c r="L34" s="17" t="str">
        <x:v>ACC-DEL-14.01；ACC-DEL-14.02；ACC-DEL-14.03；ACC-DEL-14.04</x:v>
      </x:c>
    </x:row>
    <x:row r="35" ht="75" customHeight="1">
      <x:c r="A35" s="17" t="str">
        <x:v>CORE-DEL-15</x:v>
      </x:c>
      <x:c r="B35" s="17" t="str">
        <x:v>真人承制、报价里程碑与交付—服务端与规则</x:v>
      </x:c>
      <x:c r="C35" s="17" t="str">
        <x:v>chengcongcong222</x:v>
      </x:c>
      <x:c r="D35" s="17"/>
      <x:c r="E35" s="17" t="str">
        <x:v>未开始</x:v>
      </x:c>
      <x:c r="F35" s="17" t="str">
        <x:v>未执行</x:v>
      </x:c>
      <x:c r="G35" s="17" t="str">
        <x:v>未审阅</x:v>
      </x:c>
      <x:c r="H35" s="17" t="str">
        <x:v>未合入</x:v>
      </x:c>
      <x:c r="I35" s="17" t="str">
        <x:v>未启用</x:v>
      </x:c>
      <x:c r="J35" s="17" t="str">
        <x:v>DEL-03；DEL-07；DEL-08；DEL-13；DEL-14</x:v>
      </x:c>
      <x:c r="K35" s="17" t="str">
        <x:v>复用production派单和四阶段版本；接故事卡/品类/档期、承制主体、开工依据、30/60/10付款计划、正式交稿/返修和个人成果。</x:v>
      </x:c>
      <x:c r="L35" s="17" t="str">
        <x:v>ACC-DEL-15.01；ACC-DEL-15.02；ACC-DEL-15.03；ACC-DEL-15.04</x:v>
      </x:c>
    </x:row>
    <x:row r="36" ht="75" customHeight="1">
      <x:c r="A36" s="17" t="str">
        <x:v>UX-DEL-15</x:v>
      </x:c>
      <x:c r="B36" s="17" t="str">
        <x:v>真人承制、报价里程碑与交付—App与Web</x:v>
      </x:c>
      <x:c r="C36" s="17" t="str">
        <x:v>FrontendLead（待填写实际GitHub账号）</x:v>
      </x:c>
      <x:c r="D36" s="17"/>
      <x:c r="E36" s="17" t="str">
        <x:v>未开始</x:v>
      </x:c>
      <x:c r="F36" s="17" t="str">
        <x:v>未执行</x:v>
      </x:c>
      <x:c r="G36" s="17" t="str">
        <x:v>未审阅</x:v>
      </x:c>
      <x:c r="H36" s="17" t="str">
        <x:v>未合入</x:v>
      </x:c>
      <x:c r="I36" s="17" t="str">
        <x:v>未启用</x:v>
      </x:c>
      <x:c r="J36" s="17" t="str">
        <x:v>DEL-03；DEL-07；DEL-08；DEL-13；DEL-14</x:v>
      </x:c>
      <x:c r="K36" s="17" t="str">
        <x:v>定制商城、报价确认、制作进度、版本反馈及成片管理；沿用现有接口，不另起一套custom production数据库事实。</x:v>
      </x:c>
      <x:c r="L36" s="17" t="str">
        <x:v>ACC-DEL-15.01；ACC-DEL-15.02；ACC-DEL-15.03；ACC-DEL-15.04</x:v>
      </x:c>
    </x:row>
    <x:row r="37" ht="75" customHeight="1">
      <x:c r="A37" s="17" t="str">
        <x:v>CORE-DEL-16</x:v>
      </x:c>
      <x:c r="B37" s="17" t="str">
        <x:v>多人共创、去重授权及10/20权益—服务端与规则</x:v>
      </x:c>
      <x:c r="C37" s="17" t="str">
        <x:v>chengcongcong222</x:v>
      </x:c>
      <x:c r="D37" s="17"/>
      <x:c r="E37" s="17" t="str">
        <x:v>未开始</x:v>
      </x:c>
      <x:c r="F37" s="17" t="str">
        <x:v>未执行</x:v>
      </x:c>
      <x:c r="G37" s="17" t="str">
        <x:v>未审阅</x:v>
      </x:c>
      <x:c r="H37" s="17" t="str">
        <x:v>未合入</x:v>
      </x:c>
      <x:c r="I37" s="17" t="str">
        <x:v>未启用</x:v>
      </x:c>
      <x:c r="J37" s="17" t="str">
        <x:v>DEL-02；DEL-03；DEL-14；DEL-15；DEL-20</x:v>
      </x:c>
      <x:c r="K37" s="17" t="str">
        <x:v>房间与主订单、受邀/加入/授权、真实权利人去重、开工资格与20人参与费减免快照；退组/延期/退款、个人片段访问。</x:v>
      </x:c>
      <x:c r="L37" s="17" t="str">
        <x:v>ACC-DEL-16.01；ACC-DEL-16.02；ACC-DEL-16.03；ACC-DEL-16.04</x:v>
      </x:c>
    </x:row>
    <x:row r="38" ht="75" customHeight="1">
      <x:c r="A38" s="17" t="str">
        <x:v>UX-DEL-16</x:v>
      </x:c>
      <x:c r="B38" s="17" t="str">
        <x:v>多人共创、去重授权及10/20权益—App与Web</x:v>
      </x:c>
      <x:c r="C38" s="17" t="str">
        <x:v>FrontendLead（待填写实际GitHub账号）</x:v>
      </x:c>
      <x:c r="D38" s="17"/>
      <x:c r="E38" s="17" t="str">
        <x:v>未开始</x:v>
      </x:c>
      <x:c r="F38" s="17" t="str">
        <x:v>未执行</x:v>
      </x:c>
      <x:c r="G38" s="17" t="str">
        <x:v>未审阅</x:v>
      </x:c>
      <x:c r="H38" s="17" t="str">
        <x:v>未合入</x:v>
      </x:c>
      <x:c r="I38" s="17" t="str">
        <x:v>未启用</x:v>
      </x:c>
      <x:c r="J38" s="17" t="str">
        <x:v>DEL-02；DEL-03；DEL-14；DEL-15；DEL-20</x:v>
      </x:c>
      <x:c r="K38" s="17" t="str">
        <x:v>建房邀请、参与者独立填写与授权、人数和待办、开工条件、退组/未成团、主片与本人片段权限。</x:v>
      </x:c>
      <x:c r="L38" s="17" t="str">
        <x:v>ACC-DEL-16.01；ACC-DEL-16.02；ACC-DEL-16.03；ACC-DEL-16.04</x:v>
      </x:c>
    </x:row>
    <x:row r="39" ht="75" customHeight="1">
      <x:c r="A39" s="17" t="str">
        <x:v>CORE-DEL-17</x:v>
      </x:c>
      <x:c r="B39" s="17" t="str">
        <x:v>消费者储值与星探会员—服务端与规则</x:v>
      </x:c>
      <x:c r="C39" s="17" t="str">
        <x:v>chengcongcong222</x:v>
      </x:c>
      <x:c r="D39" s="17"/>
      <x:c r="E39" s="17" t="str">
        <x:v>未开始</x:v>
      </x:c>
      <x:c r="F39" s="17" t="str">
        <x:v>未执行</x:v>
      </x:c>
      <x:c r="G39" s="17" t="str">
        <x:v>未审阅</x:v>
      </x:c>
      <x:c r="H39" s="17" t="str">
        <x:v>未合入</x:v>
      </x:c>
      <x:c r="I39" s="17" t="str">
        <x:v>未启用</x:v>
      </x:c>
      <x:c r="J39" s="17" t="str">
        <x:v>DEL-02；DEL-07；DEL-18</x:v>
      </x:c>
      <x:c r="K39" s="17" t="str">
        <x:v>消费者托管余额账与充值订单、消费分配、退款、对账；300元资格、365天会员年续期冻结恢复；六级从合格成长派生，非购买等级。</x:v>
      </x:c>
      <x:c r="L39" s="17" t="str">
        <x:v>ACC-DEL-17.01；ACC-DEL-17.02；ACC-DEL-17.03；ACC-DEL-17.04</x:v>
      </x:c>
    </x:row>
    <x:row r="40" ht="75" customHeight="1">
      <x:c r="A40" s="17" t="str">
        <x:v>UX-DEL-17</x:v>
      </x:c>
      <x:c r="B40" s="17" t="str">
        <x:v>消费者储值与星探会员—App与Web</x:v>
      </x:c>
      <x:c r="C40" s="17" t="str">
        <x:v>FrontendLead（待填写实际GitHub账号）</x:v>
      </x:c>
      <x:c r="D40" s="17"/>
      <x:c r="E40" s="17" t="str">
        <x:v>未开始</x:v>
      </x:c>
      <x:c r="F40" s="17" t="str">
        <x:v>未执行</x:v>
      </x:c>
      <x:c r="G40" s="17" t="str">
        <x:v>未审阅</x:v>
      </x:c>
      <x:c r="H40" s="17" t="str">
        <x:v>未合入</x:v>
      </x:c>
      <x:c r="I40" s="17" t="str">
        <x:v>未启用</x:v>
      </x:c>
      <x:c r="J40" s="17" t="str">
        <x:v>DEL-02；DEL-07；DEL-18</x:v>
      </x:c>
      <x:c r="K40" s="17" t="str">
        <x:v>储值/消费余额、星探开通说明、会员年进度与冻结状态；未验证通道禁真实充值，不能额外售会费。</x:v>
      </x:c>
      <x:c r="L40" s="17" t="str">
        <x:v>ACC-DEL-17.01；ACC-DEL-17.02；ACC-DEL-17.03；ACC-DEL-17.04</x:v>
      </x:c>
    </x:row>
    <x:row r="41" ht="75" customHeight="1">
      <x:c r="A41" s="17" t="str">
        <x:v>CORE-DEL-18</x:v>
      </x:c>
      <x:c r="B41" s="17" t="str">
        <x:v>晶钻、消费成长与积分事件账—服务端与规则</x:v>
      </x:c>
      <x:c r="C41" s="17" t="str">
        <x:v>chengcongcong222</x:v>
      </x:c>
      <x:c r="D41" s="17"/>
      <x:c r="E41" s="17" t="str">
        <x:v>未开始</x:v>
      </x:c>
      <x:c r="F41" s="17" t="str">
        <x:v>未执行</x:v>
      </x:c>
      <x:c r="G41" s="17" t="str">
        <x:v>未审阅</x:v>
      </x:c>
      <x:c r="H41" s="17" t="str">
        <x:v>未合入</x:v>
      </x:c>
      <x:c r="I41" s="17" t="str">
        <x:v>未启用</x:v>
      </x:c>
      <x:c r="J41" s="17" t="str">
        <x:v>DEL-01；DEL-07</x:v>
      </x:c>
      <x:c r="K41" s="17" t="str">
        <x:v>来源批次、免费/消费/退款事件、可用余额与累计成长分离；售后后发分、到期、冲回、并发占用；不自行新增现金购买晶钻产品。</x:v>
      </x:c>
      <x:c r="L41" s="17" t="str">
        <x:v>ACC-DEL-18.01；ACC-DEL-18.02；ACC-DEL-18.03；ACC-DEL-18.04</x:v>
      </x:c>
    </x:row>
    <x:row r="42" ht="75" customHeight="1">
      <x:c r="A42" s="17" t="str">
        <x:v>UX-DEL-18</x:v>
      </x:c>
      <x:c r="B42" s="17" t="str">
        <x:v>晶钻、消费成长与积分事件账—App与Web</x:v>
      </x:c>
      <x:c r="C42" s="17" t="str">
        <x:v>FrontendLead（待填写实际GitHub账号）</x:v>
      </x:c>
      <x:c r="D42" s="17"/>
      <x:c r="E42" s="17" t="str">
        <x:v>未开始</x:v>
      </x:c>
      <x:c r="F42" s="17" t="str">
        <x:v>未执行</x:v>
      </x:c>
      <x:c r="G42" s="17" t="str">
        <x:v>未审阅</x:v>
      </x:c>
      <x:c r="H42" s="17" t="str">
        <x:v>未合入</x:v>
      </x:c>
      <x:c r="I42" s="17" t="str">
        <x:v>未启用</x:v>
      </x:c>
      <x:c r="J42" s="17" t="str">
        <x:v>DEL-01；DEL-07</x:v>
      </x:c>
      <x:c r="K42" s="17" t="str">
        <x:v>可用/累计成长各自解释，来源与到期记录、待入账、退款冲回和异议；不混同人民币余额。</x:v>
      </x:c>
      <x:c r="L42" s="17" t="str">
        <x:v>ACC-DEL-18.01；ACC-DEL-18.02；ACC-DEL-18.03；ACC-DEL-18.04</x:v>
      </x:c>
    </x:row>
    <x:row r="43" ht="75" customHeight="1">
      <x:c r="A43" s="17" t="str">
        <x:v>CORE-DEL-19</x:v>
      </x:c>
      <x:c r="B43" s="17" t="str">
        <x:v>艺人六榜、买家城市榜及成长评价—服务端与规则</x:v>
      </x:c>
      <x:c r="C43" s="17" t="str">
        <x:v>chengcongcong222</x:v>
      </x:c>
      <x:c r="D43" s="17"/>
      <x:c r="E43" s="17" t="str">
        <x:v>未开始</x:v>
      </x:c>
      <x:c r="F43" s="17" t="str">
        <x:v>未执行</x:v>
      </x:c>
      <x:c r="G43" s="17" t="str">
        <x:v>未审阅</x:v>
      </x:c>
      <x:c r="H43" s="17" t="str">
        <x:v>未合入</x:v>
      </x:c>
      <x:c r="I43" s="17" t="str">
        <x:v>未启用</x:v>
      </x:c>
      <x:c r="J43" s="17" t="str">
        <x:v>DEL-02；DEL-04；DEL-18</x:v>
      </x:c>
      <x:c r="K43" s="17" t="str">
        <x:v>艺人认证/接单成长/好评分立；消费/成交事实、六榜及城市买家榜版本与防刷；个性化关闭回退非个性排序；广告字段预留不开收费。</x:v>
      </x:c>
      <x:c r="L43" s="17" t="str">
        <x:v>ACC-DEL-19.01；ACC-DEL-19.02；ACC-DEL-19.03；ACC-DEL-19.04；ACC-DEL-19.05</x:v>
      </x:c>
    </x:row>
    <x:row r="44" ht="75" customHeight="1">
      <x:c r="A44" s="17" t="str">
        <x:v>UX-DEL-19</x:v>
      </x:c>
      <x:c r="B44" s="17" t="str">
        <x:v>艺人六榜、买家城市榜及成长评价—App与Web</x:v>
      </x:c>
      <x:c r="C44" s="17" t="str">
        <x:v>FrontendLead（待填写实际GitHub账号）</x:v>
      </x:c>
      <x:c r="D44" s="17"/>
      <x:c r="E44" s="17" t="str">
        <x:v>未开始</x:v>
      </x:c>
      <x:c r="F44" s="17" t="str">
        <x:v>未执行</x:v>
      </x:c>
      <x:c r="G44" s="17" t="str">
        <x:v>未审阅</x:v>
      </x:c>
      <x:c r="H44" s="17" t="str">
        <x:v>未合入</x:v>
      </x:c>
      <x:c r="I44" s="17" t="str">
        <x:v>未启用</x:v>
      </x:c>
      <x:c r="J44" s="17" t="str">
        <x:v>DEL-02；DEL-04；DEL-18</x:v>
      </x:c>
      <x:c r="K44" s="17" t="str">
        <x:v>榜单名称“排行榜”，各维度/地区/评分依据说明；免费自然排序与权益推荐位可区分。</x:v>
      </x:c>
      <x:c r="L44" s="17" t="str">
        <x:v>ACC-DEL-19.01；ACC-DEL-19.02；ACC-DEL-19.03；ACC-DEL-19.04；ACC-DEL-19.05</x:v>
      </x:c>
    </x:row>
    <x:row r="45" ht="75" customHeight="1">
      <x:c r="A45" s="17" t="str">
        <x:v>CORE-DEL-20</x:v>
      </x:c>
      <x:c r="B45" s="17" t="str">
        <x:v>一级推荐、7天归因及退款返佣—服务端与规则</x:v>
      </x:c>
      <x:c r="C45" s="17" t="str">
        <x:v>chengcongcong222</x:v>
      </x:c>
      <x:c r="D45" s="17"/>
      <x:c r="E45" s="17" t="str">
        <x:v>未开始</x:v>
      </x:c>
      <x:c r="F45" s="17" t="str">
        <x:v>未执行</x:v>
      </x:c>
      <x:c r="G45" s="17" t="str">
        <x:v>未审阅</x:v>
      </x:c>
      <x:c r="H45" s="17" t="str">
        <x:v>未合入</x:v>
      </x:c>
      <x:c r="I45" s="17" t="str">
        <x:v>未启用</x:v>
      </x:c>
      <x:c r="J45" s="17" t="str">
        <x:v>DEL-01；DEL-07；DEL-08</x:v>
      </x:c>
      <x:c r="K45" s="17" t="str">
        <x:v>推荐链接/归因事件、7天末次有效归因、自购排除、订单快照、售后结算、退款冲回；多层不建；费率冲突只影响发布版本。</x:v>
      </x:c>
      <x:c r="L45" s="17" t="str">
        <x:v>ACC-DEL-20.01；ACC-DEL-20.02；ACC-DEL-20.03；ACC-DEL-20.04</x:v>
      </x:c>
    </x:row>
    <x:row r="46" ht="75" customHeight="1">
      <x:c r="A46" s="17" t="str">
        <x:v>UX-DEL-20</x:v>
      </x:c>
      <x:c r="B46" s="17" t="str">
        <x:v>一级推荐、7天归因及退款返佣—App与Web</x:v>
      </x:c>
      <x:c r="C46" s="17" t="str">
        <x:v>FrontendLead（待填写实际GitHub账号）</x:v>
      </x:c>
      <x:c r="D46" s="17"/>
      <x:c r="E46" s="17" t="str">
        <x:v>未开始</x:v>
      </x:c>
      <x:c r="F46" s="17" t="str">
        <x:v>未执行</x:v>
      </x:c>
      <x:c r="G46" s="17" t="str">
        <x:v>未审阅</x:v>
      </x:c>
      <x:c r="H46" s="17" t="str">
        <x:v>未合入</x:v>
      </x:c>
      <x:c r="I46" s="17" t="str">
        <x:v>未启用</x:v>
      </x:c>
      <x:c r="J46" s="17" t="str">
        <x:v>DEL-01；DEL-07；DEL-08</x:v>
      </x:c>
      <x:c r="K46" s="17" t="str">
        <x:v>推荐记录、待结佣/已结佣/作废原因；复制链接不代表成交奖励；不建下级团队。</x:v>
      </x:c>
      <x:c r="L46" s="17" t="str">
        <x:v>ACC-DEL-20.01；ACC-DEL-20.02；ACC-DEL-20.03；ACC-DEL-20.04</x:v>
      </x:c>
    </x:row>
    <x:row r="47" ht="75" customHeight="1">
      <x:c r="A47" s="17" t="str">
        <x:v>CORE-DEL-21</x:v>
      </x:c>
      <x:c r="B47" s="17" t="str">
        <x:v>晶钻抽奖、十连保底及概率发布—服务端与规则</x:v>
      </x:c>
      <x:c r="C47" s="17" t="str">
        <x:v>chengcongcong222</x:v>
      </x:c>
      <x:c r="D47" s="17"/>
      <x:c r="E47" s="17" t="str">
        <x:v>未开始</x:v>
      </x:c>
      <x:c r="F47" s="17" t="str">
        <x:v>未执行</x:v>
      </x:c>
      <x:c r="G47" s="17" t="str">
        <x:v>未审阅</x:v>
      </x:c>
      <x:c r="H47" s="17" t="str">
        <x:v>未合入</x:v>
      </x:c>
      <x:c r="I47" s="17" t="str">
        <x:v>未启用</x:v>
      </x:c>
      <x:c r="J47" s="17" t="str">
        <x:v>DEL-02；DEL-18；DEL-22</x:v>
      </x:c>
      <x:c r="K47" s="17" t="str">
        <x:v>奖池版本、资格与未成年门禁、300/2700扣分幂等、安全随机/保底算法、库存、公示、开奖和补偿记录；不使用前端随机作事实。</x:v>
      </x:c>
      <x:c r="L47" s="17" t="str">
        <x:v>ACC-DEL-21.01；ACC-DEL-21.02；ACC-DEL-21.03；ACC-DEL-21.04</x:v>
      </x:c>
    </x:row>
    <x:row r="48" ht="75" customHeight="1">
      <x:c r="A48" s="17" t="str">
        <x:v>UX-DEL-21</x:v>
      </x:c>
      <x:c r="B48" s="17" t="str">
        <x:v>晶钻抽奖、十连保底及概率发布—App与Web</x:v>
      </x:c>
      <x:c r="C48" s="17" t="str">
        <x:v>FrontendLead（待填写实际GitHub账号）</x:v>
      </x:c>
      <x:c r="D48" s="17"/>
      <x:c r="E48" s="17" t="str">
        <x:v>未开始</x:v>
      </x:c>
      <x:c r="F48" s="17" t="str">
        <x:v>未执行</x:v>
      </x:c>
      <x:c r="G48" s="17" t="str">
        <x:v>未审阅</x:v>
      </x:c>
      <x:c r="H48" s="17" t="str">
        <x:v>未合入</x:v>
      </x:c>
      <x:c r="I48" s="17" t="str">
        <x:v>未启用</x:v>
      </x:c>
      <x:c r="J48" s="17" t="str">
        <x:v>DEL-02；DEL-18；DEL-22</x:v>
      </x:c>
      <x:c r="K48" s="17" t="str">
        <x:v>规则公示、余额不足/资格不足/发布待核验、单抽十连结果与记录；不把角色机会显示为已获主角。</x:v>
      </x:c>
      <x:c r="L48" s="17" t="str">
        <x:v>ACC-DEL-21.01；ACC-DEL-21.02；ACC-DEL-21.03；ACC-DEL-21.04</x:v>
      </x:c>
    </x:row>
    <x:row r="49" ht="75" customHeight="1">
      <x:c r="A49" s="17" t="str">
        <x:v>CORE-DEL-22</x:v>
      </x:c>
      <x:c r="B49" s="17" t="str">
        <x:v>固定兑换、卡券制作金与中奖权益兑现—服务端与规则</x:v>
      </x:c>
      <x:c r="C49" s="17" t="str">
        <x:v>chengcongcong222</x:v>
      </x:c>
      <x:c r="D49" s="17"/>
      <x:c r="E49" s="17" t="str">
        <x:v>未开始</x:v>
      </x:c>
      <x:c r="F49" s="17" t="str">
        <x:v>未执行</x:v>
      </x:c>
      <x:c r="G49" s="17" t="str">
        <x:v>未审阅</x:v>
      </x:c>
      <x:c r="H49" s="17" t="str">
        <x:v>未合入</x:v>
      </x:c>
      <x:c r="I49" s="17" t="str">
        <x:v>未启用</x:v>
      </x:c>
      <x:c r="J49" s="17" t="str">
        <x:v>DEL-07；DEL-18</x:v>
      </x:c>
      <x:c r="K49" s="17" t="str">
        <x:v>券模板/发行/锁定/核销/释放、固定兑换6000等、满减门槛、到期及退款；面试卡批次与预约、7天曝光权益实际执行。</x:v>
      </x:c>
      <x:c r="L49" s="17" t="str">
        <x:v>ACC-DEL-22.01；ACC-DEL-22.02；ACC-DEL-22.03；ACC-DEL-22.04</x:v>
      </x:c>
    </x:row>
    <x:row r="50" ht="75" customHeight="1">
      <x:c r="A50" s="17" t="str">
        <x:v>UX-DEL-22</x:v>
      </x:c>
      <x:c r="B50" s="17" t="str">
        <x:v>固定兑换、卡券制作金与中奖权益兑现—App与Web</x:v>
      </x:c>
      <x:c r="C50" s="17" t="str">
        <x:v>FrontendLead（待填写实际GitHub账号）</x:v>
      </x:c>
      <x:c r="D50" s="17"/>
      <x:c r="E50" s="17" t="str">
        <x:v>未开始</x:v>
      </x:c>
      <x:c r="F50" s="17" t="str">
        <x:v>未执行</x:v>
      </x:c>
      <x:c r="G50" s="17" t="str">
        <x:v>未审阅</x:v>
      </x:c>
      <x:c r="H50" s="17" t="str">
        <x:v>未合入</x:v>
      </x:c>
      <x:c r="I50" s="17" t="str">
        <x:v>未启用</x:v>
      </x:c>
      <x:c r="J50" s="17" t="str">
        <x:v>DEL-07；DEL-18</x:v>
      </x:c>
      <x:c r="K50" s="17" t="str">
        <x:v>兑换确认、我的券、适用商品/满减提示、收银选券、面试预约与补救、曝光绑定资产和到期说明。</x:v>
      </x:c>
      <x:c r="L50" s="17" t="str">
        <x:v>ACC-DEL-22.01；ACC-DEL-22.02；ACC-DEL-22.03；ACC-DEL-22.04</x:v>
      </x:c>
    </x:row>
    <x:row r="51" ht="75" customHeight="1">
      <x:c r="A51" s="17" t="str">
        <x:v>CORE-DEL-23</x:v>
      </x:c>
      <x:c r="B51" s="17" t="str">
        <x:v>个人信息权利、青少年与消费保护—服务端与规则</x:v>
      </x:c>
      <x:c r="C51" s="17" t="str">
        <x:v>chengcongcong222</x:v>
      </x:c>
      <x:c r="D51" s="17"/>
      <x:c r="E51" s="17" t="str">
        <x:v>未开始</x:v>
      </x:c>
      <x:c r="F51" s="17" t="str">
        <x:v>未执行</x:v>
      </x:c>
      <x:c r="G51" s="17" t="str">
        <x:v>未审阅</x:v>
      </x:c>
      <x:c r="H51" s="17" t="str">
        <x:v>未合入</x:v>
      </x:c>
      <x:c r="I51" s="17" t="str">
        <x:v>未启用</x:v>
      </x:c>
      <x:c r="J51" s="17" t="str">
        <x:v>DEL-01；DEL-02</x:v>
      </x:c>
      <x:c r="K51" s="17" t="str">
        <x:v>查询复制更正删除/注销请求、15工作日平台目标、留存例外；撤回跨上传/商品/生成/分发；年龄/监护/误充、限额冷静期、举报申诉和偏好。</x:v>
      </x:c>
      <x:c r="L51" s="17" t="str">
        <x:v>ACC-DEL-23.01；ACC-DEL-23.02；ACC-DEL-23.03；ACC-DEL-23.04</x:v>
      </x:c>
    </x:row>
    <x:row r="52" ht="75" customHeight="1">
      <x:c r="A52" s="17" t="str">
        <x:v>UX-DEL-23</x:v>
      </x:c>
      <x:c r="B52" s="17" t="str">
        <x:v>个人信息权利、青少年与消费保护—App与Web</x:v>
      </x:c>
      <x:c r="C52" s="17" t="str">
        <x:v>FrontendLead（待填写实际GitHub账号）</x:v>
      </x:c>
      <x:c r="D52" s="17"/>
      <x:c r="E52" s="17" t="str">
        <x:v>未开始</x:v>
      </x:c>
      <x:c r="F52" s="17" t="str">
        <x:v>未执行</x:v>
      </x:c>
      <x:c r="G52" s="17" t="str">
        <x:v>未审阅</x:v>
      </x:c>
      <x:c r="H52" s="17" t="str">
        <x:v>未合入</x:v>
      </x:c>
      <x:c r="I52" s="17" t="str">
        <x:v>未启用</x:v>
      </x:c>
      <x:c r="J52" s="17" t="str">
        <x:v>DEL-01；DEL-02</x:v>
      </x:c>
      <x:c r="K52" s="17" t="str">
        <x:v>权益中心可提交并跟进，不仅本地开关；撤回影响、保留依据、处理状态、误识别申诉；营销退订与交易通知区分。</x:v>
      </x:c>
      <x:c r="L52" s="17" t="str">
        <x:v>ACC-DEL-23.01；ACC-DEL-23.02；ACC-DEL-23.03；ACC-DEL-23.04</x:v>
      </x:c>
    </x:row>
    <x:row r="53" ht="75" customHeight="1">
      <x:c r="A53" s="17" t="str">
        <x:v>CORE-DEL-24</x:v>
      </x:c>
      <x:c r="B53" s="17" t="str">
        <x:v>私有素材、内容审核与AI标识全链—服务端与规则</x:v>
      </x:c>
      <x:c r="C53" s="17" t="str">
        <x:v>chengcongcong222</x:v>
      </x:c>
      <x:c r="D53" s="17"/>
      <x:c r="E53" s="17" t="str">
        <x:v>未开始</x:v>
      </x:c>
      <x:c r="F53" s="17" t="str">
        <x:v>未执行</x:v>
      </x:c>
      <x:c r="G53" s="17" t="str">
        <x:v>未审阅</x:v>
      </x:c>
      <x:c r="H53" s="17" t="str">
        <x:v>未合入</x:v>
      </x:c>
      <x:c r="I53" s="17" t="str">
        <x:v>未启用</x:v>
      </x:c>
      <x:c r="J53" s="17" t="str">
        <x:v>DEL-01</x:v>
      </x:c>
      <x:c r="K53" s="17" t="str">
        <x:v>上传/生成/发布/下载共用素材审查结果、显隐标识和失败阻断；私有访问、用途、生命周期；SDK清单版本、PIA引用、日志策略和服务证据。</x:v>
      </x:c>
      <x:c r="L53" s="17" t="str">
        <x:v>ACC-DEL-24.01；ACC-DEL-24.02；ACC-DEL-24.03；ACC-DEL-24.04</x:v>
      </x:c>
    </x:row>
    <x:row r="54" ht="75" customHeight="1">
      <x:c r="A54" s="17" t="str">
        <x:v>UX-DEL-24</x:v>
      </x:c>
      <x:c r="B54" s="17" t="str">
        <x:v>私有素材、内容审核与AI标识全链—App与Web</x:v>
      </x:c>
      <x:c r="C54" s="17" t="str">
        <x:v>FrontendLead（待填写实际GitHub账号）</x:v>
      </x:c>
      <x:c r="D54" s="17"/>
      <x:c r="E54" s="17" t="str">
        <x:v>未开始</x:v>
      </x:c>
      <x:c r="F54" s="17" t="str">
        <x:v>未执行</x:v>
      </x:c>
      <x:c r="G54" s="17" t="str">
        <x:v>未审阅</x:v>
      </x:c>
      <x:c r="H54" s="17" t="str">
        <x:v>未合入</x:v>
      </x:c>
      <x:c r="I54" s="17" t="str">
        <x:v>未启用</x:v>
      </x:c>
      <x:c r="J54" s="17" t="str">
        <x:v>DEL-01</x:v>
      </x:c>
      <x:c r="K54" s="17" t="str">
        <x:v>上传进度/待审/驳回、公开范围、标签说明、下载可用理由；A端审查/SDK与处理清单可维护。</x:v>
      </x:c>
      <x:c r="L54" s="17" t="str">
        <x:v>ACC-DEL-24.01；ACC-DEL-24.02；ACC-DEL-24.03；ACC-DEL-24.04</x:v>
      </x:c>
    </x:row>
    <x:row r="55" ht="75" customHeight="1">
      <x:c r="A55" s="17" t="str">
        <x:v>CORE-DEL-25</x:v>
      </x:c>
      <x:c r="B55" s="17" t="str">
        <x:v>MCN独立PC经营与个人轻操作—服务端与规则</x:v>
      </x:c>
      <x:c r="C55" s="17" t="str">
        <x:v>chengcongcong222</x:v>
      </x:c>
      <x:c r="D55" s="17"/>
      <x:c r="E55" s="17" t="str">
        <x:v>未开始</x:v>
      </x:c>
      <x:c r="F55" s="17" t="str">
        <x:v>未执行</x:v>
      </x:c>
      <x:c r="G55" s="17" t="str">
        <x:v>未审阅</x:v>
      </x:c>
      <x:c r="H55" s="17" t="str">
        <x:v>未合入</x:v>
      </x:c>
      <x:c r="I55" s="17" t="str">
        <x:v>未启用</x:v>
      </x:c>
      <x:c r="J55" s="17" t="str">
        <x:v>DEL-01；DEL-03；DEL-05；DEL-08；DEL-12</x:v>
      </x:c>
      <x:c r="K55" s="17" t="str">
        <x:v>沿用主体成员与主MCN互认合同；委托权限、多艺人批量操作、受派订单、评论客服与看板；独立PC入口和会话范围但不复制主体账。</x:v>
      </x:c>
      <x:c r="L55" s="17" t="str">
        <x:v>ACC-DEL-25.01；ACC-DEL-25.02；ACC-DEL-25.03；ACC-DEL-25.04</x:v>
      </x:c>
    </x:row>
    <x:row r="56" ht="75" customHeight="1">
      <x:c r="A56" s="17" t="str">
        <x:v>UX-DEL-25</x:v>
      </x:c>
      <x:c r="B56" s="17" t="str">
        <x:v>MCN独立PC经营与个人轻操作—App与Web</x:v>
      </x:c>
      <x:c r="C56" s="17" t="str">
        <x:v>FrontendLead（待填写实际GitHub账号）</x:v>
      </x:c>
      <x:c r="D56" s="17"/>
      <x:c r="E56" s="17" t="str">
        <x:v>未开始</x:v>
      </x:c>
      <x:c r="F56" s="17" t="str">
        <x:v>未执行</x:v>
      </x:c>
      <x:c r="G56" s="17" t="str">
        <x:v>未审阅</x:v>
      </x:c>
      <x:c r="H56" s="17" t="str">
        <x:v>未合入</x:v>
      </x:c>
      <x:c r="I56" s="17" t="str">
        <x:v>未启用</x:v>
      </x:c>
      <x:c r="J56" s="17" t="str">
        <x:v>DEL-01；DEL-03；DEL-05；DEL-08；DEL-12</x:v>
      </x:c>
      <x:c r="K56" s="17" t="str">
        <x:v>现有Web内形成独立MCN工作区/部署入口；App只留个人轻上架/收入；权限矩阵和解除关系提示。</x:v>
      </x:c>
      <x:c r="L56" s="17" t="str">
        <x:v>ACC-DEL-25.01；ACC-DEL-25.02；ACC-DEL-25.03；ACC-DEL-25.04</x:v>
      </x:c>
    </x:row>
    <x:row r="57" ht="75" customHeight="1">
      <x:c r="A57" s="17" t="str">
        <x:v>CORE-DEL-26</x:v>
      </x:c>
      <x:c r="B57" s="17" t="str">
        <x:v>运营CMS总工作台与规则发布—服务端与规则</x:v>
      </x:c>
      <x:c r="C57" s="17" t="str">
        <x:v>chengcongcong222</x:v>
      </x:c>
      <x:c r="D57" s="17"/>
      <x:c r="E57" s="17" t="str">
        <x:v>未开始</x:v>
      </x:c>
      <x:c r="F57" s="17" t="str">
        <x:v>未执行</x:v>
      </x:c>
      <x:c r="G57" s="17" t="str">
        <x:v>未审阅</x:v>
      </x:c>
      <x:c r="H57" s="17" t="str">
        <x:v>未合入</x:v>
      </x:c>
      <x:c r="I57" s="17" t="str">
        <x:v>未启用</x:v>
      </x:c>
      <x:c r="J57" s="17" t="str">
        <x:v>DEL-01</x:v>
      </x:c>
      <x:c r="K57" s="17" t="str">
        <x:v>组装各域运营接口与角色范围；字段模板/奖池/券/费率发布审批、版本、生效与撤销；制作工单/投诉/对账待办聚合；规则缺值禁发布。</x:v>
      </x:c>
      <x:c r="L57" s="17" t="str">
        <x:v>ACC-DEL-26.01；ACC-DEL-26.02；ACC-DEL-26.03；ACC-DEL-26.04</x:v>
      </x:c>
    </x:row>
    <x:row r="58" ht="75" customHeight="1">
      <x:c r="A58" s="17" t="str">
        <x:v>UX-DEL-26</x:v>
      </x:c>
      <x:c r="B58" s="17" t="str">
        <x:v>运营CMS总工作台与规则发布—App与Web</x:v>
      </x:c>
      <x:c r="C58" s="17" t="str">
        <x:v>FrontendLead（待填写实际GitHub账号）</x:v>
      </x:c>
      <x:c r="D58" s="17"/>
      <x:c r="E58" s="17" t="str">
        <x:v>未开始</x:v>
      </x:c>
      <x:c r="F58" s="17" t="str">
        <x:v>未执行</x:v>
      </x:c>
      <x:c r="G58" s="17" t="str">
        <x:v>未审阅</x:v>
      </x:c>
      <x:c r="H58" s="17" t="str">
        <x:v>未合入</x:v>
      </x:c>
      <x:c r="I58" s="17" t="str">
        <x:v>未启用</x:v>
      </x:c>
      <x:c r="J58" s="17" t="str">
        <x:v>DEL-01</x:v>
      </x:c>
      <x:c r="K58" s="17" t="str">
        <x:v>沿用共同Web组件，运营和MCN入口、菜单、权限与数据边界独立；客服处理和业务总档案，剧本仅A端管理。</x:v>
      </x:c>
      <x:c r="L58" s="17" t="str">
        <x:v>ACC-DEL-26.01；ACC-DEL-26.02；ACC-DEL-26.03；ACC-DEL-26.04</x:v>
      </x:c>
    </x:row>
    <x:row r="59" ht="75" customHeight="1">
      <x:c r="A59" s="17" t="str">
        <x:v>CORE-DEL-27</x:v>
      </x:c>
      <x:c r="B59" s="17" t="str">
        <x:v>非标参演、项目发行与收入凭证—服务端与规则</x:v>
      </x:c>
      <x:c r="C59" s="17" t="str">
        <x:v>chengcongcong222</x:v>
      </x:c>
      <x:c r="D59" s="17"/>
      <x:c r="E59" s="17" t="str">
        <x:v>未开始</x:v>
      </x:c>
      <x:c r="F59" s="17" t="str">
        <x:v>未执行</x:v>
      </x:c>
      <x:c r="G59" s="17" t="str">
        <x:v>未审阅</x:v>
      </x:c>
      <x:c r="H59" s="17" t="str">
        <x:v>未合入</x:v>
      </x:c>
      <x:c r="I59" s="17" t="str">
        <x:v>未启用</x:v>
      </x:c>
      <x:c r="J59" s="17" t="str">
        <x:v>DEL-01；DEL-03；DEL-08；DEL-13；DEL-15</x:v>
      </x:c>
      <x:c r="K59" s="17" t="str">
        <x:v>一人一剧一价的报价/合同关联角色/数字人；多方会签/内容版本/外部发行结果；当期服务费与未来发行收入分别建可追溯结算来源。</x:v>
      </x:c>
      <x:c r="L59" s="17" t="str">
        <x:v>ACC-DEL-27.01；ACC-DEL-27.02；ACC-DEL-27.03；ACC-DEL-27.04</x:v>
      </x:c>
    </x:row>
    <x:row r="60" ht="75" customHeight="1">
      <x:c r="A60" s="17" t="str">
        <x:v>UX-DEL-27</x:v>
      </x:c>
      <x:c r="B60" s="17" t="str">
        <x:v>非标参演、项目发行与收入凭证—App与Web</x:v>
      </x:c>
      <x:c r="C60" s="17" t="str">
        <x:v>FrontendLead（待填写实际GitHub账号）</x:v>
      </x:c>
      <x:c r="D60" s="17"/>
      <x:c r="E60" s="17" t="str">
        <x:v>未开始</x:v>
      </x:c>
      <x:c r="F60" s="17" t="str">
        <x:v>未执行</x:v>
      </x:c>
      <x:c r="G60" s="17" t="str">
        <x:v>未审阅</x:v>
      </x:c>
      <x:c r="H60" s="17" t="str">
        <x:v>未合入</x:v>
      </x:c>
      <x:c r="I60" s="17" t="str">
        <x:v>未启用</x:v>
      </x:c>
      <x:c r="J60" s="17" t="str">
        <x:v>DEL-01；DEL-03；DEL-08；DEL-13；DEL-15</x:v>
      </x:c>
      <x:c r="K60" s="17" t="str">
        <x:v>通告内项目介绍/演出记录、本人参演约定、会签待办、发行状态与合同收入；不做竞拍/公众收益份额。</x:v>
      </x:c>
      <x:c r="L60" s="17" t="str">
        <x:v>ACC-DEL-27.01；ACC-DEL-27.02；ACC-DEL-27.03；ACC-DEL-27.04</x:v>
      </x:c>
    </x:row>
    <x:row r="61" ht="75" customHeight="1">
      <x:c r="A61" s="17" t="str">
        <x:v>CORE-DEL-28</x:v>
      </x:c>
      <x:c r="B61" s="17" t="str">
        <x:v>五Tab迁移、原型缺陷与视觉接线—服务端与规则</x:v>
      </x:c>
      <x:c r="C61" s="17" t="str">
        <x:v>chengcongcong222</x:v>
      </x:c>
      <x:c r="D61" s="17"/>
      <x:c r="E61" s="17" t="str">
        <x:v>未开始</x:v>
      </x:c>
      <x:c r="F61" s="17" t="str">
        <x:v>未执行</x:v>
      </x:c>
      <x:c r="G61" s="17" t="str">
        <x:v>未审阅</x:v>
      </x:c>
      <x:c r="H61" s="17" t="str">
        <x:v>未合入</x:v>
      </x:c>
      <x:c r="I61" s="17" t="str">
        <x:v>未启用</x:v>
      </x:c>
      <x:c r="J61" s="17" t="str">
        <x:v>DEL-00；DEL-01</x:v>
      </x:c>
      <x:c r="K61" s="17" t="str">
        <x:v>配合迁移路由和端侧权限，更新OpenAPI错误实例/实现台账；不把静态原型状态计API实现。</x:v>
      </x:c>
      <x:c r="L61" s="17" t="str">
        <x:v>ACC-DEL-28.01；ACC-DEL-28.02；ACC-DEL-28.03；ACC-DEL-28.04</x:v>
      </x:c>
    </x:row>
    <x:row r="62" ht="75" customHeight="1">
      <x:c r="A62" s="17" t="str">
        <x:v>UX-DEL-28</x:v>
      </x:c>
      <x:c r="B62" s="17" t="str">
        <x:v>五Tab迁移、原型缺陷与视觉接线—App与Web</x:v>
      </x:c>
      <x:c r="C62" s="17" t="str">
        <x:v>FrontendLead（待填写实际GitHub账号）</x:v>
      </x:c>
      <x:c r="D62" s="17"/>
      <x:c r="E62" s="17" t="str">
        <x:v>未开始</x:v>
      </x:c>
      <x:c r="F62" s="17" t="str">
        <x:v>未执行</x:v>
      </x:c>
      <x:c r="G62" s="17" t="str">
        <x:v>未审阅</x:v>
      </x:c>
      <x:c r="H62" s="17" t="str">
        <x:v>未合入</x:v>
      </x:c>
      <x:c r="I62" s="17" t="str">
        <x:v>未启用</x:v>
      </x:c>
      <x:c r="J62" s="17" t="str">
        <x:v>DEL-00；DEL-01</x:v>
      </x:c>
      <x:c r="K62" s="17" t="str">
        <x:v>改广场/试镜/通告/消息/我的，旧深链映射与返回保留；电影感组件遵循最新原型并纠正动态字段、必填及模板字符串；双视角入口不恢复。</x:v>
      </x:c>
      <x:c r="L62" s="17" t="str">
        <x:v>ACC-DEL-28.01；ACC-DEL-28.02；ACC-DEL-28.03；ACC-DEL-28.04</x:v>
      </x:c>
    </x:row>
    <x:row r="63" ht="75" customHeight="1">
      <x:c r="A63" s="17" t="str">
        <x:v>CORE-DEL-29</x:v>
      </x:c>
      <x:c r="B63" s="17" t="str">
        <x:v>集成验收、迁移恢复与发布证据—服务端与规则</x:v>
      </x:c>
      <x:c r="C63" s="17" t="str">
        <x:v>chengcongcong222</x:v>
      </x:c>
      <x:c r="D63" s="17"/>
      <x:c r="E63" s="17" t="str">
        <x:v>未开始</x:v>
      </x:c>
      <x:c r="F63" s="17" t="str">
        <x:v>未执行</x:v>
      </x:c>
      <x:c r="G63" s="17" t="str">
        <x:v>未审阅</x:v>
      </x:c>
      <x:c r="H63" s="17" t="str">
        <x:v>未合入</x:v>
      </x:c>
      <x:c r="I63" s="17" t="str">
        <x:v>未启用</x:v>
      </x:c>
      <x:c r="J63" s="17" t="str">
        <x:v>DEL-01；DEL-02；DEL-03；DEL-04；DEL-05；DEL-06；DEL-07；DEL-08；DEL-09；DEL-10；DEL-11；DEL-12；DEL-13；DEL-14；DEL-15；DEL-16；DEL-17；DEL-18；DEL-19；DEL-20；DEL-21；DEL-22；DEL-23；DEL-24；DEL-25；DEL-26；DEL-27；DEL-28</x:v>
      </x:c>
      <x:c r="K63" s="17" t="str">
        <x:v>逐业务隔离MySQL/HTTP回归、版本分流/幂等/并发/故障恢复、历史迁移演练、性能目标实测和Provider生产证据台账。</x:v>
      </x:c>
      <x:c r="L63" s="17" t="str">
        <x:v>ACC-DEL-29.01；ACC-DEL-29.02；ACC-DEL-29.03；ACC-DEL-29.04</x:v>
      </x:c>
    </x:row>
    <x:row r="64" ht="75" customHeight="1">
      <x:c r="A64" s="17" t="str">
        <x:v>UX-DEL-29</x:v>
      </x:c>
      <x:c r="B64" s="17" t="str">
        <x:v>集成验收、迁移恢复与发布证据—App与Web</x:v>
      </x:c>
      <x:c r="C64" s="17" t="str">
        <x:v>FrontendLead（待填写实际GitHub账号）</x:v>
      </x:c>
      <x:c r="D64" s="17"/>
      <x:c r="E64" s="17" t="str">
        <x:v>未开始</x:v>
      </x:c>
      <x:c r="F64" s="17" t="str">
        <x:v>未执行</x:v>
      </x:c>
      <x:c r="G64" s="17" t="str">
        <x:v>未审阅</x:v>
      </x:c>
      <x:c r="H64" s="17" t="str">
        <x:v>未合入</x:v>
      </x:c>
      <x:c r="I64" s="17" t="str">
        <x:v>未启用</x:v>
      </x:c>
      <x:c r="J64" s="17" t="str">
        <x:v>DEL-01；DEL-02；DEL-03；DEL-04；DEL-05；DEL-06；DEL-07；DEL-08；DEL-09；DEL-10；DEL-11；DEL-12；DEL-13；DEL-14；DEL-15；DEL-16；DEL-17；DEL-18；DEL-19；DEL-20；DEL-21；DEL-22；DEL-23；DEL-24；DEL-25；DEL-26；DEL-27；DEL-28</x:v>
      </x:c>
      <x:c r="K64" s="17" t="str">
        <x:v>跨端完整场景、Flutter分析/测试与Android/iOS构建真机、Web正式构建/权限；安装包、视觉与接口提交对应。</x:v>
      </x:c>
      <x:c r="L64" s="17" t="str">
        <x:v>ACC-DEL-29.01；ACC-DEL-29.02；ACC-DEL-29.03；ACC-DEL-29.04</x:v>
      </x:c>
    </x:row>
  </x:sheetData>
  <x:mergeCells>
    <x:mergeCell ref="A1:L1"/>
    <x:mergeCell ref="A2:L2"/>
  </x:mergeCells>
  <x:dataValidations count="5">
    <x:dataValidation type="list" sqref="E5:E64">
      <x:formula1>"未开始,进行中,部分实现,实现完成,待条件"</x:formula1>
    </x:dataValidation>
    <x:dataValidation type="list" sqref="F5:F64">
      <x:formula1>"未执行,部分测试,通过,失败,阻断"</x:formula1>
    </x:dataValidation>
    <x:dataValidation type="list" sqref="G5:G64">
      <x:formula1>"未审阅,需修改,通过"</x:formula1>
    </x:dataValidation>
    <x:dataValidation type="list" sqref="H5:H64">
      <x:formula1>"未合入,已推送待合入,已入integration"</x:formula1>
    </x:dataValidation>
    <x:dataValidation type="list" sqref="I5:I64">
      <x:formula1>"未启用,待核验,允许隔离测试,生产已核验"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468c777caa0439b"/>
  </x:tableParts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4" hidden="0" customWidth="1"/>
    <x:col min="3" max="3" width="33" hidden="0" customWidth="1"/>
    <x:col min="4" max="4" width="48" hidden="0" customWidth="1"/>
    <x:col min="5" max="5" width="48" hidden="0" customWidth="1"/>
    <x:col min="6" max="6" width="25" hidden="0" customWidth="1"/>
    <x:col min="7" max="7" width="46" hidden="0" customWidth="1"/>
    <x:col min="8" max="8" width="28" hidden="0" customWidth="1"/>
    <x:col min="9" max="9" width="20" hidden="0" customWidth="1"/>
    <x:col min="10" max="10" width="20" hidden="0" customWidth="1"/>
    <x:col min="11" max="11" width="30" hidden="0" customWidth="1"/>
    <x:col min="12" max="12" width="26" hidden="0" customWidth="1"/>
    <x:col min="13" max="13" width="36" hidden="0" customWidth="1"/>
    <x:col min="14" max="14" width="20" hidden="0" customWidth="1"/>
  </x:cols>
  <x:sheetData>
    <x:row r="1" ht="30" customHeight="1">
      <x:c r="A1" s="3" t="str">
        <x:v>121个可追踪检查单元｜逐条来源与反例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6" customHeight="1">
      <x:c r="A2" s="7" t="str">
        <x:v>D1 / 2026-10-16 · PR23@25e6d29 · 此表为执行登记，不是完成率或生产通过证据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30" customHeight="1">
      <x:c r="A4" s="12" t="str">
        <x:v>编号</x:v>
      </x:c>
      <x:c r="B4" s="12" t="str">
        <x:v>交付包</x:v>
      </x:c>
      <x:c r="C4" s="12" t="str">
        <x:v>工作</x:v>
      </x:c>
      <x:c r="D4" s="12" t="str">
        <x:v>具体范围</x:v>
      </x:c>
      <x:c r="E4" s="12" t="str">
        <x:v>验收反例</x:v>
      </x:c>
      <x:c r="F4" s="12" t="str">
        <x:v>现有处理</x:v>
      </x:c>
      <x:c r="G4" s="12" t="str">
        <x:v>当前代码证据</x:v>
      </x:c>
      <x:c r="H4" s="12" t="str">
        <x:v>证据性质</x:v>
      </x:c>
      <x:c r="I4" s="12" t="str">
        <x:v>Core任务</x:v>
      </x:c>
      <x:c r="J4" s="12" t="str">
        <x:v>Experience任务</x:v>
      </x:c>
      <x:c r="K4" s="12" t="str">
        <x:v>旧REQ</x:v>
      </x:c>
      <x:c r="L4" s="12" t="str">
        <x:v>原型40专题</x:v>
      </x:c>
      <x:c r="M4" s="12" t="str">
        <x:v>需求来源</x:v>
      </x:c>
      <x:c r="N4" s="12" t="str">
        <x:v>状态</x:v>
      </x:c>
    </x:row>
    <x:row r="5" ht="75" customHeight="1">
      <x:c r="A5" s="17" t="str">
        <x:v>DEL-00.01</x:v>
      </x:c>
      <x:c r="B5" s="17" t="str">
        <x:v>DEL-00</x:v>
      </x:c>
      <x:c r="C5" s="17" t="str">
        <x:v>共同起点</x:v>
      </x:c>
      <x:c r="D5" s="17" t="str">
        <x:v>复核头提交、目标分支、CI、祖先关系和机密文件；只合integration。</x:v>
      </x:c>
      <x:c r="E5" s="17" t="str">
        <x:v>头或目标变化即停；不得拿预生成merge_commit_sha当实际合并。</x:v>
      </x:c>
      <x:c r="F5" s="17" t="str">
        <x:v>治理衔接</x:v>
      </x:c>
      <x:c r="G5" s="17" t="str">
        <x:v>远端核验：PR23 OPEN / Draft；25e6d29；21/22为祖先；本轮转换Ready被权限拒绝，未合并。</x:v>
      </x:c>
      <x:c r="H5" s="17" t="str">
        <x:v>本轮远端抽查＋队友固定提交审阅</x:v>
      </x:c>
      <x:c r="I5" s="17" t="str">
        <x:v>CORE-DEL-00</x:v>
      </x:c>
      <x:c r="J5" s="17" t="str">
        <x:v>UX-DEL-00</x:v>
      </x:c>
      <x:c r="K5" s="17" t="str">
        <x:v>REQ-044；REQ-045</x:v>
      </x:c>
      <x:c r="L5" s="17" t="str"/>
      <x:c r="M5" s="17" t="str">
        <x:v>本轮用户指令；队友审阅§比较基线、衔接顺序</x:v>
      </x:c>
      <x:c r="N5" s="17" t="str">
        <x:v>未按V5验收</x:v>
      </x:c>
    </x:row>
    <x:row r="6" ht="75" customHeight="1">
      <x:c r="A6" s="17" t="str">
        <x:v>DEL-00.02</x:v>
      </x:c>
      <x:c r="B6" s="17" t="str">
        <x:v>DEL-00</x:v>
      </x:c>
      <x:c r="C6" s="17" t="str">
        <x:v>单一执行入口</x:v>
      </x:c>
      <x:c r="D6" s="17" t="str">
        <x:v>沿用现有docs/status与docs/tasks/board.json，建立V5完整交付登记。</x:v>
      </x:c>
      <x:c r="E6" s="17" t="str">
        <x:v>不得再维护第二个CURRENT真相；旧记录只追加说明。</x:v>
      </x:c>
      <x:c r="F6" s="17" t="str">
        <x:v>治理衔接</x:v>
      </x:c>
      <x:c r="G6" s="17" t="str">
        <x:v>远端核验：PR23 OPEN / Draft；25e6d29；21/22为祖先；本轮转换Ready被权限拒绝，未合并。</x:v>
      </x:c>
      <x:c r="H6" s="17" t="str">
        <x:v>本轮远端抽查＋队友固定提交审阅</x:v>
      </x:c>
      <x:c r="I6" s="17" t="str">
        <x:v>CORE-DEL-00</x:v>
      </x:c>
      <x:c r="J6" s="17" t="str">
        <x:v>UX-DEL-00</x:v>
      </x:c>
      <x:c r="K6" s="17" t="str">
        <x:v>REQ-044；REQ-045</x:v>
      </x:c>
      <x:c r="L6" s="17" t="str"/>
      <x:c r="M6" s="17" t="str">
        <x:v>本轮用户指令；队友审阅§比较基线、衔接顺序</x:v>
      </x:c>
      <x:c r="N6" s="17" t="str">
        <x:v>未按V5验收</x:v>
      </x:c>
    </x:row>
    <x:row r="7" ht="75" customHeight="1">
      <x:c r="A7" s="17" t="str">
        <x:v>DEL-00.03</x:v>
      </x:c>
      <x:c r="B7" s="17" t="str">
        <x:v>DEL-00</x:v>
      </x:c>
      <x:c r="C7" s="17" t="str">
        <x:v>历史范围映射</x:v>
      </x:c>
      <x:c r="D7" s="17" t="str">
        <x:v>旧REQ60、原型40条、V5正文与专项参数均有去向。</x:v>
      </x:c>
      <x:c r="E7" s="17" t="str">
        <x:v>每个“取消/后置”保留来源和历史读路径。</x:v>
      </x:c>
      <x:c r="F7" s="17" t="str">
        <x:v>治理衔接</x:v>
      </x:c>
      <x:c r="G7" s="17" t="str">
        <x:v>远端核验：PR23 OPEN / Draft；25e6d29；21/22为祖先；本轮转换Ready被权限拒绝，未合并。</x:v>
      </x:c>
      <x:c r="H7" s="17" t="str">
        <x:v>本轮远端抽查＋队友固定提交审阅</x:v>
      </x:c>
      <x:c r="I7" s="17" t="str">
        <x:v>CORE-DEL-00</x:v>
      </x:c>
      <x:c r="J7" s="17" t="str">
        <x:v>UX-DEL-00</x:v>
      </x:c>
      <x:c r="K7" s="17" t="str">
        <x:v>REQ-044；REQ-045</x:v>
      </x:c>
      <x:c r="L7" s="17" t="str"/>
      <x:c r="M7" s="17" t="str">
        <x:v>本轮用户指令；队友审阅§比较基线、衔接顺序</x:v>
      </x:c>
      <x:c r="N7" s="17" t="str">
        <x:v>未按V5验收</x:v>
      </x:c>
    </x:row>
    <x:row r="8" ht="75" customHeight="1">
      <x:c r="A8" s="17" t="str">
        <x:v>DEL-00.04</x:v>
      </x:c>
      <x:c r="B8" s="17" t="str">
        <x:v>DEL-00</x:v>
      </x:c>
      <x:c r="C8" s="17" t="str">
        <x:v>代码与材料隔离</x:v>
      </x:c>
      <x:c r="D8" s="17" t="str">
        <x:v>甲方含密钥ZIP、.env、真实资料不进入评审包或普通Git提交。</x:v>
      </x:c>
      <x:c r="E8" s="17" t="str">
        <x:v>扫描只报告路径和类别，不回显凭证；发现泄露先隔离处置。</x:v>
      </x:c>
      <x:c r="F8" s="17" t="str">
        <x:v>治理衔接</x:v>
      </x:c>
      <x:c r="G8" s="17" t="str">
        <x:v>远端核验：PR23 OPEN / Draft；25e6d29；21/22为祖先；本轮转换Ready被权限拒绝，未合并。</x:v>
      </x:c>
      <x:c r="H8" s="17" t="str">
        <x:v>本轮远端抽查＋队友固定提交审阅</x:v>
      </x:c>
      <x:c r="I8" s="17" t="str">
        <x:v>CORE-DEL-00</x:v>
      </x:c>
      <x:c r="J8" s="17" t="str">
        <x:v>UX-DEL-00</x:v>
      </x:c>
      <x:c r="K8" s="17" t="str">
        <x:v>REQ-044；REQ-045</x:v>
      </x:c>
      <x:c r="L8" s="17" t="str"/>
      <x:c r="M8" s="17" t="str">
        <x:v>本轮用户指令；队友审阅§比较基线、衔接顺序</x:v>
      </x:c>
      <x:c r="N8" s="17" t="str">
        <x:v>未按V5验收</x:v>
      </x:c>
    </x:row>
    <x:row r="9" ht="75" customHeight="1">
      <x:c r="A9" s="17" t="str">
        <x:v>DEL-01.01</x:v>
      </x:c>
      <x:c r="B9" s="17" t="str">
        <x:v>DEL-01</x:v>
      </x:c>
      <x:c r="C9" s="17" t="str">
        <x:v>同号多业务</x:v>
      </x:c>
      <x:c r="D9" s="17" t="str">
        <x:v>同一账号可买也可供给，签约主体独立选择。</x:v>
      </x:c>
      <x:c r="E9" s="17" t="str">
        <x:v>切换身份不修改已成交买卖方。</x:v>
      </x:c>
      <x:c r="F9" s="17" t="str">
        <x:v>复用扩展</x:v>
      </x:c>
      <x:c r="G9" s="17" t="str">
        <x:v>队友审阅：AccountSession/AccountPage与真实接口已接；远端AGENTS/production显示主体成员权限已有。</x:v>
      </x:c>
      <x:c r="H9" s="17" t="str">
        <x:v>本轮远端抽查＋队友固定提交审阅</x:v>
      </x:c>
      <x:c r="I9" s="17" t="str">
        <x:v>CORE-DEL-01</x:v>
      </x:c>
      <x:c r="J9" s="17" t="str">
        <x:v>UX-DEL-01</x:v>
      </x:c>
      <x:c r="K9" s="17" t="str">
        <x:v>REQ-023；REQ-031；REQ-034；REQ-047</x:v>
      </x:c>
      <x:c r="L9" s="17" t="str"/>
      <x:c r="M9" s="17" t="str">
        <x:v>V5 §1.2—1.4、2.9；队友审阅L30、L126</x:v>
      </x:c>
      <x:c r="N9" s="17" t="str">
        <x:v>未按V5验收</x:v>
      </x:c>
    </x:row>
    <x:row r="10" ht="75" customHeight="1">
      <x:c r="A10" s="17" t="str">
        <x:v>DEL-01.02</x:v>
      </x:c>
      <x:c r="B10" s="17" t="str">
        <x:v>DEL-01</x:v>
      </x:c>
      <x:c r="C10" s="17" t="str">
        <x:v>三端隔离</x:v>
      </x:c>
      <x:c r="D10" s="17" t="str">
        <x:v>C、MCN PC、运营各有会话范围，沿用同一主体事实。</x:v>
      </x:c>
      <x:c r="E10" s="17" t="str">
        <x:v>普通用户调用运营或他机构接口必须拒绝。</x:v>
      </x:c>
      <x:c r="F10" s="17" t="str">
        <x:v>复用扩展</x:v>
      </x:c>
      <x:c r="G10" s="17" t="str">
        <x:v>队友审阅：AccountSession/AccountPage与真实接口已接；远端AGENTS/production显示主体成员权限已有。</x:v>
      </x:c>
      <x:c r="H10" s="17" t="str">
        <x:v>本轮远端抽查＋队友固定提交审阅</x:v>
      </x:c>
      <x:c r="I10" s="17" t="str">
        <x:v>CORE-DEL-01</x:v>
      </x:c>
      <x:c r="J10" s="17" t="str">
        <x:v>UX-DEL-01</x:v>
      </x:c>
      <x:c r="K10" s="17" t="str">
        <x:v>REQ-023；REQ-031；REQ-034；REQ-047</x:v>
      </x:c>
      <x:c r="L10" s="17" t="str"/>
      <x:c r="M10" s="17" t="str">
        <x:v>V5 §1.2—1.4、2.9；队友审阅L30、L126</x:v>
      </x:c>
      <x:c r="N10" s="17" t="str">
        <x:v>未按V5验收</x:v>
      </x:c>
    </x:row>
    <x:row r="11" ht="75" customHeight="1">
      <x:c r="A11" s="17" t="str">
        <x:v>DEL-01.03</x:v>
      </x:c>
      <x:c r="B11" s="17" t="str">
        <x:v>DEL-01</x:v>
      </x:c>
      <x:c r="C11" s="17" t="str">
        <x:v>成员失权</x:v>
      </x:c>
      <x:c r="D11" s="17" t="str">
        <x:v>成员退出或权限撤销后深链、缓存、下载重新检查。</x:v>
      </x:c>
      <x:c r="E11" s="17" t="str">
        <x:v>禁止继续显示或访问失权前读取的私有材料。</x:v>
      </x:c>
      <x:c r="F11" s="17" t="str">
        <x:v>复用扩展</x:v>
      </x:c>
      <x:c r="G11" s="17" t="str">
        <x:v>队友审阅：AccountSession/AccountPage与真实接口已接；远端AGENTS/production显示主体成员权限已有。</x:v>
      </x:c>
      <x:c r="H11" s="17" t="str">
        <x:v>本轮远端抽查＋队友固定提交审阅</x:v>
      </x:c>
      <x:c r="I11" s="17" t="str">
        <x:v>CORE-DEL-01</x:v>
      </x:c>
      <x:c r="J11" s="17" t="str">
        <x:v>UX-DEL-01</x:v>
      </x:c>
      <x:c r="K11" s="17" t="str">
        <x:v>REQ-023；REQ-031；REQ-034；REQ-047</x:v>
      </x:c>
      <x:c r="L11" s="17" t="str"/>
      <x:c r="M11" s="17" t="str">
        <x:v>V5 §1.2—1.4、2.9；队友审阅L30、L126</x:v>
      </x:c>
      <x:c r="N11" s="17" t="str">
        <x:v>未按V5验收</x:v>
      </x:c>
    </x:row>
    <x:row r="12" ht="75" customHeight="1">
      <x:c r="A12" s="17" t="str">
        <x:v>DEL-01.04</x:v>
      </x:c>
      <x:c r="B12" s="17" t="str">
        <x:v>DEL-01</x:v>
      </x:c>
      <x:c r="C12" s="17" t="str">
        <x:v>企业代办</x:v>
      </x:c>
      <x:c r="D12" s="17" t="str">
        <x:v>企业授权代表可操作订单与票据，不依靠星探等级代替代表权。</x:v>
      </x:c>
      <x:c r="E12" s="17" t="str">
        <x:v>公司切换后不得继承上一主体的审批权限。</x:v>
      </x:c>
      <x:c r="F12" s="17" t="str">
        <x:v>复用扩展</x:v>
      </x:c>
      <x:c r="G12" s="17" t="str">
        <x:v>队友审阅：AccountSession/AccountPage与真实接口已接；远端AGENTS/production显示主体成员权限已有。</x:v>
      </x:c>
      <x:c r="H12" s="17" t="str">
        <x:v>本轮远端抽查＋队友固定提交审阅</x:v>
      </x:c>
      <x:c r="I12" s="17" t="str">
        <x:v>CORE-DEL-01</x:v>
      </x:c>
      <x:c r="J12" s="17" t="str">
        <x:v>UX-DEL-01</x:v>
      </x:c>
      <x:c r="K12" s="17" t="str">
        <x:v>REQ-023；REQ-031；REQ-034；REQ-047</x:v>
      </x:c>
      <x:c r="L12" s="17" t="str"/>
      <x:c r="M12" s="17" t="str">
        <x:v>V5 §1.2—1.4、2.9；队友审阅L30、L126</x:v>
      </x:c>
      <x:c r="N12" s="17" t="str">
        <x:v>未按V5验收</x:v>
      </x:c>
    </x:row>
    <x:row r="13" ht="75" customHeight="1">
      <x:c r="A13" s="17" t="str">
        <x:v>DEL-02.01</x:v>
      </x:c>
      <x:c r="B13" s="17" t="str">
        <x:v>DEL-02</x:v>
      </x:c>
      <x:c r="C13" s="17" t="str">
        <x:v>真实身份和年龄</x:v>
      </x:c>
      <x:c r="D13" s="17" t="str">
        <x:v>服务端维护已核验/待核验/受限年龄状态及证据引用。</x:v>
      </x:c>
      <x:c r="E13" s="17" t="str">
        <x:v>未成年直接调用充值、试镜、经营、抽奖接口须拒绝。</x:v>
      </x:c>
      <x:c r="F13" s="17" t="str">
        <x:v>新增业务</x:v>
      </x:c>
      <x:c r="G13" s="17" t="str">
        <x:v>队友审阅：能力申请不等于实名/年龄核验；当前身份结果NOT_VERIFIED；付费光环未建。</x:v>
      </x:c>
      <x:c r="H13" s="17" t="str">
        <x:v>队友固定提交审阅；业务代码差异仅文档已远端核验</x:v>
      </x:c>
      <x:c r="I13" s="17" t="str">
        <x:v>CORE-DEL-02</x:v>
      </x:c>
      <x:c r="J13" s="17" t="str">
        <x:v>UX-DEL-02</x:v>
      </x:c>
      <x:c r="K13" s="17" t="str">
        <x:v>REQ-006；REQ-010；REQ-014；REQ-037；REQ-039</x:v>
      </x:c>
      <x:c r="L13" s="17" t="str">
        <x:v>V5-020；V5-023；V5-039</x:v>
      </x:c>
      <x:c r="M13" s="17" t="str">
        <x:v>V5 §1.3、2.14、5.6；信用成长专项§1</x:v>
      </x:c>
      <x:c r="N13" s="17" t="str">
        <x:v>未按V5验收</x:v>
      </x:c>
    </x:row>
    <x:row r="14" ht="75" customHeight="1">
      <x:c r="A14" s="17" t="str">
        <x:v>DEL-02.02</x:v>
      </x:c>
      <x:c r="B14" s="17" t="str">
        <x:v>DEL-02</x:v>
      </x:c>
      <x:c r="C14" s="17" t="str">
        <x:v>光环申请</x:v>
      </x:c>
      <x:c r="D14" s="17" t="str">
        <x:v>L1免费；L2/L3收10元审核费，已付与通过审核分别记录。</x:v>
      </x:c>
      <x:c r="E14" s="17" t="str">
        <x:v>付款成功不自动审核通过；失败不能吞费后装作已提交。</x:v>
      </x:c>
      <x:c r="F14" s="17" t="str">
        <x:v>新增业务</x:v>
      </x:c>
      <x:c r="G14" s="17" t="str">
        <x:v>队友审阅：能力申请不等于实名/年龄核验；当前身份结果NOT_VERIFIED；付费光环未建。</x:v>
      </x:c>
      <x:c r="H14" s="17" t="str">
        <x:v>队友固定提交审阅；业务代码差异仅文档已远端核验</x:v>
      </x:c>
      <x:c r="I14" s="17" t="str">
        <x:v>CORE-DEL-02</x:v>
      </x:c>
      <x:c r="J14" s="17" t="str">
        <x:v>UX-DEL-02</x:v>
      </x:c>
      <x:c r="K14" s="17" t="str">
        <x:v>REQ-006；REQ-010；REQ-014；REQ-037；REQ-039</x:v>
      </x:c>
      <x:c r="L14" s="17" t="str">
        <x:v>V5-020；V5-023；V5-039</x:v>
      </x:c>
      <x:c r="M14" s="17" t="str">
        <x:v>V5 §1.3、2.14、5.6；信用成长专项§1</x:v>
      </x:c>
      <x:c r="N14" s="17" t="str">
        <x:v>未按V5验收</x:v>
      </x:c>
    </x:row>
    <x:row r="15" ht="75" customHeight="1">
      <x:c r="A15" s="17" t="str">
        <x:v>DEL-02.03</x:v>
      </x:c>
      <x:c r="B15" s="17" t="str">
        <x:v>DEL-02</x:v>
      </x:c>
      <x:c r="C15" s="17" t="str">
        <x:v>补件与到期</x:v>
      </x:c>
      <x:c r="D15" s="17" t="str">
        <x:v>补料、重复提交收费、到期状态按正式规则版本。</x:v>
      </x:c>
      <x:c r="E15" s="17" t="str">
        <x:v>未确认重审收费前，不自行增加第二次扣费。</x:v>
      </x:c>
      <x:c r="F15" s="17" t="str">
        <x:v>新增业务</x:v>
      </x:c>
      <x:c r="G15" s="17" t="str">
        <x:v>队友审阅：能力申请不等于实名/年龄核验；当前身份结果NOT_VERIFIED；付费光环未建。</x:v>
      </x:c>
      <x:c r="H15" s="17" t="str">
        <x:v>队友固定提交审阅；业务代码差异仅文档已远端核验</x:v>
      </x:c>
      <x:c r="I15" s="17" t="str">
        <x:v>CORE-DEL-02</x:v>
      </x:c>
      <x:c r="J15" s="17" t="str">
        <x:v>UX-DEL-02</x:v>
      </x:c>
      <x:c r="K15" s="17" t="str">
        <x:v>REQ-006；REQ-010；REQ-014；REQ-037；REQ-039</x:v>
      </x:c>
      <x:c r="L15" s="17" t="str">
        <x:v>V5-020；V5-023；V5-039</x:v>
      </x:c>
      <x:c r="M15" s="17" t="str">
        <x:v>V5 §1.3、2.14、5.6；信用成长专项§1</x:v>
      </x:c>
      <x:c r="N15" s="17" t="str">
        <x:v>未按V5验收</x:v>
      </x:c>
    </x:row>
    <x:row r="16" ht="75" customHeight="1">
      <x:c r="A16" s="17" t="str">
        <x:v>DEL-02.04</x:v>
      </x:c>
      <x:c r="B16" s="17" t="str">
        <x:v>DEL-02</x:v>
      </x:c>
      <x:c r="C16" s="17" t="str">
        <x:v>代理及监护</x:v>
      </x:c>
      <x:c r="D16" s="17" t="str">
        <x:v>本人授权、机构代理、监护处理分别记录。</x:v>
      </x:c>
      <x:c r="E16" s="17" t="str">
        <x:v>代理管理权不代替脸声单独同意；误判可申诉。</x:v>
      </x:c>
      <x:c r="F16" s="17" t="str">
        <x:v>新增业务</x:v>
      </x:c>
      <x:c r="G16" s="17" t="str">
        <x:v>队友审阅：能力申请不等于实名/年龄核验；当前身份结果NOT_VERIFIED；付费光环未建。</x:v>
      </x:c>
      <x:c r="H16" s="17" t="str">
        <x:v>队友固定提交审阅；业务代码差异仅文档已远端核验</x:v>
      </x:c>
      <x:c r="I16" s="17" t="str">
        <x:v>CORE-DEL-02</x:v>
      </x:c>
      <x:c r="J16" s="17" t="str">
        <x:v>UX-DEL-02</x:v>
      </x:c>
      <x:c r="K16" s="17" t="str">
        <x:v>REQ-006；REQ-010；REQ-014；REQ-037；REQ-039</x:v>
      </x:c>
      <x:c r="L16" s="17" t="str">
        <x:v>V5-020；V5-023；V5-039</x:v>
      </x:c>
      <x:c r="M16" s="17" t="str">
        <x:v>V5 §1.3、2.14、5.6；信用成长专项§1</x:v>
      </x:c>
      <x:c r="N16" s="17" t="str">
        <x:v>未按V5验收</x:v>
      </x:c>
    </x:row>
    <x:row r="17" ht="75" customHeight="1">
      <x:c r="A17" s="17" t="str">
        <x:v>DEL-03.01</x:v>
      </x:c>
      <x:c r="B17" s="17" t="str">
        <x:v>DEL-03</x:v>
      </x:c>
      <x:c r="C17" s="17" t="str">
        <x:v>演员与造型分离</x:v>
      </x:c>
      <x:c r="D17" s="17" t="str">
        <x:v>一人多个数字人；同人造型不增加独立权利人或钱包。</x:v>
      </x:c>
      <x:c r="E17" s="17" t="str">
        <x:v>全局切换不改旧订单阵容。</x:v>
      </x:c>
      <x:c r="F17" s="17" t="str">
        <x:v>新增业务并复用档案</x:v>
      </x:c>
      <x:c r="G17" s="17" t="str">
        <x:v>队友审阅：后端AVATAR/CONSENT为私有档案；App未开放管理；无真实模型引用。</x:v>
      </x:c>
      <x:c r="H17" s="17" t="str">
        <x:v>队友固定提交审阅；业务代码差异仅文档已远端核验</x:v>
      </x:c>
      <x:c r="I17" s="17" t="str">
        <x:v>CORE-DEL-03</x:v>
      </x:c>
      <x:c r="J17" s="17" t="str">
        <x:v>UX-DEL-03</x:v>
      </x:c>
      <x:c r="K17" s="17" t="str">
        <x:v>REQ-007；REQ-010；REQ-012；REQ-036；REQ-039；REQ-041</x:v>
      </x:c>
      <x:c r="L17" s="17" t="str">
        <x:v>V5-001；V5-022；V5-032</x:v>
      </x:c>
      <x:c r="M17" s="17" t="str">
        <x:v>V5 §1.1、2.3、2.4、3.4</x:v>
      </x:c>
      <x:c r="N17" s="17" t="str">
        <x:v>未按V5验收</x:v>
      </x:c>
    </x:row>
    <x:row r="18" ht="75" customHeight="1">
      <x:c r="A18" s="17" t="str">
        <x:v>DEL-03.02</x:v>
      </x:c>
      <x:c r="B18" s="17" t="str">
        <x:v>DEL-03</x:v>
      </x:c>
      <x:c r="C18" s="17" t="str">
        <x:v>创建真实结果</x:v>
      </x:c>
      <x:c r="D18" s="17" t="str">
        <x:v>收费与资产任务分别记录，外部长期资产ID和可复用证据齐套才显示成功。</x:v>
      </x:c>
      <x:c r="E18" s="17" t="str">
        <x:v>普通图生视频、档案插入不算长期模型创建。</x:v>
      </x:c>
      <x:c r="F18" s="17" t="str">
        <x:v>新增业务并复用档案</x:v>
      </x:c>
      <x:c r="G18" s="17" t="str">
        <x:v>队友审阅：后端AVATAR/CONSENT为私有档案；App未开放管理；无真实模型引用。</x:v>
      </x:c>
      <x:c r="H18" s="17" t="str">
        <x:v>队友固定提交审阅；业务代码差异仅文档已远端核验</x:v>
      </x:c>
      <x:c r="I18" s="17" t="str">
        <x:v>CORE-DEL-03</x:v>
      </x:c>
      <x:c r="J18" s="17" t="str">
        <x:v>UX-DEL-03</x:v>
      </x:c>
      <x:c r="K18" s="17" t="str">
        <x:v>REQ-007；REQ-010；REQ-012；REQ-036；REQ-039；REQ-041</x:v>
      </x:c>
      <x:c r="L18" s="17" t="str">
        <x:v>V5-001；V5-022；V5-032</x:v>
      </x:c>
      <x:c r="M18" s="17" t="str">
        <x:v>V5 §1.1、2.3、2.4、3.4</x:v>
      </x:c>
      <x:c r="N18" s="17" t="str">
        <x:v>未按V5验收</x:v>
      </x:c>
    </x:row>
    <x:row r="19" ht="75" customHeight="1">
      <x:c r="A19" s="17" t="str">
        <x:v>DEL-03.03</x:v>
      </x:c>
      <x:c r="B19" s="17" t="str">
        <x:v>DEL-03</x:v>
      </x:c>
      <x:c r="C19" s="17" t="str">
        <x:v>托管权益</x:v>
      </x:c>
      <x:c r="D19" s="17" t="str">
        <x:v>29元/月的服务范围、续期、停费、历史材料访问独立记录。</x:v>
      </x:c>
      <x:c r="E19" s="17" t="str">
        <x:v>订阅到期不得自动删除法定保留材料或撤销历史合法许可。</x:v>
      </x:c>
      <x:c r="F19" s="17" t="str">
        <x:v>新增业务并复用档案</x:v>
      </x:c>
      <x:c r="G19" s="17" t="str">
        <x:v>队友审阅：后端AVATAR/CONSENT为私有档案；App未开放管理；无真实模型引用。</x:v>
      </x:c>
      <x:c r="H19" s="17" t="str">
        <x:v>队友固定提交审阅；业务代码差异仅文档已远端核验</x:v>
      </x:c>
      <x:c r="I19" s="17" t="str">
        <x:v>CORE-DEL-03</x:v>
      </x:c>
      <x:c r="J19" s="17" t="str">
        <x:v>UX-DEL-03</x:v>
      </x:c>
      <x:c r="K19" s="17" t="str">
        <x:v>REQ-007；REQ-010；REQ-012；REQ-036；REQ-039；REQ-041</x:v>
      </x:c>
      <x:c r="L19" s="17" t="str">
        <x:v>V5-001；V5-022；V5-032</x:v>
      </x:c>
      <x:c r="M19" s="17" t="str">
        <x:v>V5 §1.1、2.3、2.4、3.4</x:v>
      </x:c>
      <x:c r="N19" s="17" t="str">
        <x:v>未按V5验收</x:v>
      </x:c>
    </x:row>
    <x:row r="20" ht="75" customHeight="1">
      <x:c r="A20" s="17" t="str">
        <x:v>DEL-03.04</x:v>
      </x:c>
      <x:c r="B20" s="17" t="str">
        <x:v>DEL-03</x:v>
      </x:c>
      <x:c r="C20" s="17" t="str">
        <x:v>造型底板与授权</x:v>
      </x:c>
      <x:c r="D20" s="17" t="str">
        <x:v>试镜素材关联对应数字人及具体用途；采集、长期复用、展示分别校验。</x:v>
      </x:c>
      <x:c r="E20" s="17" t="str">
        <x:v>素材入库不自动授予买方再次生成和全用途发行权。</x:v>
      </x:c>
      <x:c r="F20" s="17" t="str">
        <x:v>新增业务并复用档案</x:v>
      </x:c>
      <x:c r="G20" s="17" t="str">
        <x:v>队友审阅：后端AVATAR/CONSENT为私有档案；App未开放管理；无真实模型引用。</x:v>
      </x:c>
      <x:c r="H20" s="17" t="str">
        <x:v>队友固定提交审阅；业务代码差异仅文档已远端核验</x:v>
      </x:c>
      <x:c r="I20" s="17" t="str">
        <x:v>CORE-DEL-03</x:v>
      </x:c>
      <x:c r="J20" s="17" t="str">
        <x:v>UX-DEL-03</x:v>
      </x:c>
      <x:c r="K20" s="17" t="str">
        <x:v>REQ-007；REQ-010；REQ-012；REQ-036；REQ-039；REQ-041</x:v>
      </x:c>
      <x:c r="L20" s="17" t="str">
        <x:v>V5-001；V5-022；V5-032</x:v>
      </x:c>
      <x:c r="M20" s="17" t="str">
        <x:v>V5 §1.1、2.3、2.4、3.4</x:v>
      </x:c>
      <x:c r="N20" s="17" t="str">
        <x:v>未按V5验收</x:v>
      </x:c>
    </x:row>
    <x:row r="21" ht="75" customHeight="1">
      <x:c r="A21" s="17" t="str">
        <x:v>DEL-04.01</x:v>
      </x:c>
      <x:c r="B21" s="17" t="str">
        <x:v>DEL-04</x:v>
      </x:c>
      <x:c r="C21" s="17" t="str">
        <x:v>公开投影</x:v>
      </x:c>
      <x:c r="D21" s="17" t="str">
        <x:v>仅输出获准公开的照片、声音和资料。</x:v>
      </x:c>
      <x:c r="E21" s="17" t="str">
        <x:v>身份证、合同和全本材料不能通过搜索返回。</x:v>
      </x:c>
      <x:c r="F21" s="17" t="str">
        <x:v>新增业务</x:v>
      </x:c>
      <x:c r="G21" s="17" t="str">
        <x:v>队友审阅：活跃发现页“公开人物目录暂未开放”；不等于V5广场。</x:v>
      </x:c>
      <x:c r="H21" s="17" t="str">
        <x:v>队友固定提交审阅；业务代码差异仅文档已远端核验</x:v>
      </x:c>
      <x:c r="I21" s="17" t="str">
        <x:v>CORE-DEL-04</x:v>
      </x:c>
      <x:c r="J21" s="17" t="str">
        <x:v>UX-DEL-04</x:v>
      </x:c>
      <x:c r="K21" s="17" t="str">
        <x:v>REQ-007；REQ-009；REQ-020；REQ-024</x:v>
      </x:c>
      <x:c r="L21" s="17" t="str">
        <x:v>V5-034</x:v>
      </x:c>
      <x:c r="M21" s="17" t="str">
        <x:v>V5 §1.3、2.2、2.6、2.14</x:v>
      </x:c>
      <x:c r="N21" s="17" t="str">
        <x:v>未按V5验收</x:v>
      </x:c>
    </x:row>
    <x:row r="22" ht="75" customHeight="1">
      <x:c r="A22" s="17" t="str">
        <x:v>DEL-04.02</x:v>
      </x:c>
      <x:c r="B22" s="17" t="str">
        <x:v>DEL-04</x:v>
      </x:c>
      <x:c r="C22" s="17" t="str">
        <x:v>城市与位置</x:v>
      </x:c>
      <x:c r="D22" s="17" t="str">
        <x:v>手动城市可浏览，距离仅在获准定位后计算。</x:v>
      </x:c>
      <x:c r="E22" s="17" t="str">
        <x:v>拒绝位置不得阻止无关购买或强制采集。</x:v>
      </x:c>
      <x:c r="F22" s="17" t="str">
        <x:v>新增业务</x:v>
      </x:c>
      <x:c r="G22" s="17" t="str">
        <x:v>队友审阅：活跃发现页“公开人物目录暂未开放”；不等于V5广场。</x:v>
      </x:c>
      <x:c r="H22" s="17" t="str">
        <x:v>队友固定提交审阅；业务代码差异仅文档已远端核验</x:v>
      </x:c>
      <x:c r="I22" s="17" t="str">
        <x:v>CORE-DEL-04</x:v>
      </x:c>
      <x:c r="J22" s="17" t="str">
        <x:v>UX-DEL-04</x:v>
      </x:c>
      <x:c r="K22" s="17" t="str">
        <x:v>REQ-007；REQ-009；REQ-020；REQ-024</x:v>
      </x:c>
      <x:c r="L22" s="17" t="str">
        <x:v>V5-034</x:v>
      </x:c>
      <x:c r="M22" s="17" t="str">
        <x:v>V5 §1.3、2.2、2.6、2.14</x:v>
      </x:c>
      <x:c r="N22" s="17" t="str">
        <x:v>未按V5验收</x:v>
      </x:c>
    </x:row>
    <x:row r="23" ht="75" customHeight="1">
      <x:c r="A23" s="17" t="str">
        <x:v>DEL-04.03</x:v>
      </x:c>
      <x:c r="B23" s="17" t="str">
        <x:v>DEL-04</x:v>
      </x:c>
      <x:c r="C23" s="17" t="str">
        <x:v>筛选与匹配</x:v>
      </x:c>
      <x:c r="D23" s="17" t="str">
        <x:v>目录筛选真实查询；智能推荐有依据及未开通状态。</x:v>
      </x:c>
      <x:c r="E23" s="17" t="str">
        <x:v>不得用固定假列表冒充真实智能匹配。</x:v>
      </x:c>
      <x:c r="F23" s="17" t="str">
        <x:v>新增业务</x:v>
      </x:c>
      <x:c r="G23" s="17" t="str">
        <x:v>队友审阅：活跃发现页“公开人物目录暂未开放”；不等于V5广场。</x:v>
      </x:c>
      <x:c r="H23" s="17" t="str">
        <x:v>队友固定提交审阅；业务代码差异仅文档已远端核验</x:v>
      </x:c>
      <x:c r="I23" s="17" t="str">
        <x:v>CORE-DEL-04</x:v>
      </x:c>
      <x:c r="J23" s="17" t="str">
        <x:v>UX-DEL-04</x:v>
      </x:c>
      <x:c r="K23" s="17" t="str">
        <x:v>REQ-007；REQ-009；REQ-020；REQ-024</x:v>
      </x:c>
      <x:c r="L23" s="17" t="str">
        <x:v>V5-034</x:v>
      </x:c>
      <x:c r="M23" s="17" t="str">
        <x:v>V5 §1.3、2.2、2.6、2.14</x:v>
      </x:c>
      <x:c r="N23" s="17" t="str">
        <x:v>未按V5验收</x:v>
      </x:c>
    </x:row>
    <x:row r="24" ht="75" customHeight="1">
      <x:c r="A24" s="17" t="str">
        <x:v>DEL-04.04</x:v>
      </x:c>
      <x:c r="B24" s="17" t="str">
        <x:v>DEL-04</x:v>
      </x:c>
      <x:c r="C24" s="17" t="str">
        <x:v>详情与邀约</x:v>
      </x:c>
      <x:c r="D24" s="17" t="str">
        <x:v>艺人详情进入意向流程；公开试镜入口由该艺人设置决定。</x:v>
      </x:c>
      <x:c r="E24" s="17" t="str">
        <x:v>关闭公开试镜不应删除整个艺人广场档案。</x:v>
      </x:c>
      <x:c r="F24" s="17" t="str">
        <x:v>新增业务</x:v>
      </x:c>
      <x:c r="G24" s="17" t="str">
        <x:v>队友审阅：活跃发现页“公开人物目录暂未开放”；不等于V5广场。</x:v>
      </x:c>
      <x:c r="H24" s="17" t="str">
        <x:v>队友固定提交审阅；业务代码差异仅文档已远端核验</x:v>
      </x:c>
      <x:c r="I24" s="17" t="str">
        <x:v>CORE-DEL-04</x:v>
      </x:c>
      <x:c r="J24" s="17" t="str">
        <x:v>UX-DEL-04</x:v>
      </x:c>
      <x:c r="K24" s="17" t="str">
        <x:v>REQ-007；REQ-009；REQ-020；REQ-024</x:v>
      </x:c>
      <x:c r="L24" s="17" t="str">
        <x:v>V5-034</x:v>
      </x:c>
      <x:c r="M24" s="17" t="str">
        <x:v>V5 §1.3、2.2、2.6、2.14</x:v>
      </x:c>
      <x:c r="N24" s="17" t="str">
        <x:v>未按V5验收</x:v>
      </x:c>
    </x:row>
    <x:row r="25" ht="75" customHeight="1">
      <x:c r="A25" s="17" t="str">
        <x:v>DEL-05.01</x:v>
      </x:c>
      <x:c r="B25" s="17" t="str">
        <x:v>DEL-05</x:v>
      </x:c>
      <x:c r="C25" s="17" t="str">
        <x:v>商品分型</x:v>
      </x:c>
      <x:c r="D25" s="17" t="str">
        <x:v>现成成片许可、代做样片服务、定制预览版分别管理。</x:v>
      </x:c>
      <x:c r="E25" s="17" t="str">
        <x:v>预览版不可作为已购正式成片交付。</x:v>
      </x:c>
      <x:c r="F25" s="17" t="str">
        <x:v>新增业务并复用审核</x:v>
      </x:c>
      <x:c r="G25" s="17" t="str">
        <x:v>队友审阅：已有作品审核/许可材料；未有V5视频现货SKU及公开交易链。</x:v>
      </x:c>
      <x:c r="H25" s="17" t="str">
        <x:v>队友固定提交审阅；业务代码差异仅文档已远端核验</x:v>
      </x:c>
      <x:c r="I25" s="17" t="str">
        <x:v>CORE-DEL-05</x:v>
      </x:c>
      <x:c r="J25" s="17" t="str">
        <x:v>UX-DEL-05</x:v>
      </x:c>
      <x:c r="K25" s="17" t="str">
        <x:v>REQ-017；REQ-035；REQ-036；REQ-050；REQ-051；REQ-059</x:v>
      </x:c>
      <x:c r="L25" s="17" t="str">
        <x:v>V5-002；V5-003；V5-011；V5-029；V5-032</x:v>
      </x:c>
      <x:c r="M25" s="17" t="str">
        <x:v>V5 §2.1—2.3、2.12⑤</x:v>
      </x:c>
      <x:c r="N25" s="17" t="str">
        <x:v>未按V5验收</x:v>
      </x:c>
    </x:row>
    <x:row r="26" ht="75" customHeight="1">
      <x:c r="A26" s="17" t="str">
        <x:v>DEL-05.02</x:v>
      </x:c>
      <x:c r="B26" s="17" t="str">
        <x:v>DEL-05</x:v>
      </x:c>
      <x:c r="C26" s="17" t="str">
        <x:v>供给上架</x:v>
      </x:c>
      <x:c r="D26" s="17" t="str">
        <x:v>艺人/MCN自制视频经权利和内容审核后发布。</x:v>
      </x:c>
      <x:c r="E26" s="17" t="str">
        <x:v>作者剧本门户停用不能连带关闭艺人视频上架。</x:v>
      </x:c>
      <x:c r="F26" s="17" t="str">
        <x:v>新增业务并复用审核</x:v>
      </x:c>
      <x:c r="G26" s="17" t="str">
        <x:v>队友审阅：已有作品审核/许可材料；未有V5视频现货SKU及公开交易链。</x:v>
      </x:c>
      <x:c r="H26" s="17" t="str">
        <x:v>队友固定提交审阅；业务代码差异仅文档已远端核验</x:v>
      </x:c>
      <x:c r="I26" s="17" t="str">
        <x:v>CORE-DEL-05</x:v>
      </x:c>
      <x:c r="J26" s="17" t="str">
        <x:v>UX-DEL-05</x:v>
      </x:c>
      <x:c r="K26" s="17" t="str">
        <x:v>REQ-017；REQ-035；REQ-036；REQ-050；REQ-051；REQ-059</x:v>
      </x:c>
      <x:c r="L26" s="17" t="str">
        <x:v>V5-002；V5-003；V5-011；V5-029；V5-032</x:v>
      </x:c>
      <x:c r="M26" s="17" t="str">
        <x:v>V5 §2.1—2.3、2.12⑤</x:v>
      </x:c>
      <x:c r="N26" s="17" t="str">
        <x:v>未按V5验收</x:v>
      </x:c>
    </x:row>
    <x:row r="27" ht="75" customHeight="1">
      <x:c r="A27" s="17" t="str">
        <x:v>DEL-05.03</x:v>
      </x:c>
      <x:c r="B27" s="17" t="str">
        <x:v>DEL-05</x:v>
      </x:c>
      <x:c r="C27" s="17" t="str">
        <x:v>许可明示</x:v>
      </x:c>
      <x:c r="D27" s="17" t="str">
        <x:v>非独家个人非商业分享默认范围及排除用途写进商品和订单。</x:v>
      </x:c>
      <x:c r="E27" s="17" t="str">
        <x:v>买视频不取得模型、声音独用或再次AI生成权。</x:v>
      </x:c>
      <x:c r="F27" s="17" t="str">
        <x:v>新增业务并复用审核</x:v>
      </x:c>
      <x:c r="G27" s="17" t="str">
        <x:v>队友审阅：已有作品审核/许可材料；未有V5视频现货SKU及公开交易链。</x:v>
      </x:c>
      <x:c r="H27" s="17" t="str">
        <x:v>队友固定提交审阅；业务代码差异仅文档已远端核验</x:v>
      </x:c>
      <x:c r="I27" s="17" t="str">
        <x:v>CORE-DEL-05</x:v>
      </x:c>
      <x:c r="J27" s="17" t="str">
        <x:v>UX-DEL-05</x:v>
      </x:c>
      <x:c r="K27" s="17" t="str">
        <x:v>REQ-017；REQ-035；REQ-036；REQ-050；REQ-051；REQ-059</x:v>
      </x:c>
      <x:c r="L27" s="17" t="str">
        <x:v>V5-002；V5-003；V5-011；V5-029；V5-032</x:v>
      </x:c>
      <x:c r="M27" s="17" t="str">
        <x:v>V5 §2.1—2.3、2.12⑤</x:v>
      </x:c>
      <x:c r="N27" s="17" t="str">
        <x:v>未按V5验收</x:v>
      </x:c>
    </x:row>
    <x:row r="28" ht="75" customHeight="1">
      <x:c r="A28" s="17" t="str">
        <x:v>DEL-05.04</x:v>
      </x:c>
      <x:c r="B28" s="17" t="str">
        <x:v>DEL-05</x:v>
      </x:c>
      <x:c r="C28" s="17" t="str">
        <x:v>CMS内容</x:v>
      </x:c>
      <x:c r="D28" s="17" t="str">
        <x:v>类别、节日、SKU、价格、推荐位、上下架和附件版本可管理。</x:v>
      </x:c>
      <x:c r="E28" s="17" t="str">
        <x:v>表单配置不含可执行代码，不允许草稿价直接成为正式价。</x:v>
      </x:c>
      <x:c r="F28" s="17" t="str">
        <x:v>新增业务并复用审核</x:v>
      </x:c>
      <x:c r="G28" s="17" t="str">
        <x:v>队友审阅：已有作品审核/许可材料；未有V5视频现货SKU及公开交易链。</x:v>
      </x:c>
      <x:c r="H28" s="17" t="str">
        <x:v>队友固定提交审阅；业务代码差异仅文档已远端核验</x:v>
      </x:c>
      <x:c r="I28" s="17" t="str">
        <x:v>CORE-DEL-05</x:v>
      </x:c>
      <x:c r="J28" s="17" t="str">
        <x:v>UX-DEL-05</x:v>
      </x:c>
      <x:c r="K28" s="17" t="str">
        <x:v>REQ-017；REQ-035；REQ-036；REQ-050；REQ-051；REQ-059</x:v>
      </x:c>
      <x:c r="L28" s="17" t="str">
        <x:v>V5-002；V5-003；V5-011；V5-029；V5-032</x:v>
      </x:c>
      <x:c r="M28" s="17" t="str">
        <x:v>V5 §2.1—2.3、2.12⑤</x:v>
      </x:c>
      <x:c r="N28" s="17" t="str">
        <x:v>未按V5验收</x:v>
      </x:c>
    </x:row>
    <x:row r="29" ht="75" customHeight="1">
      <x:c r="A29" s="17" t="str">
        <x:v>DEL-06.01</x:v>
      </x:c>
      <x:c r="B29" s="17" t="str">
        <x:v>DEL-06</x:v>
      </x:c>
      <x:c r="C29" s="17" t="str">
        <x:v>现货独立路径</x:v>
      </x:c>
      <x:c r="D29" s="17" t="str">
        <x:v>购买现成成片不填故事、不强制拥有数字人。</x:v>
      </x:c>
      <x:c r="E29" s="17" t="str">
        <x:v>不能把现货带进定制工单。</x:v>
      </x:c>
      <x:c r="F29" s="17" t="str">
        <x:v>新增业务</x:v>
      </x:c>
      <x:c r="G29" s="17" t="str">
        <x:v>队友审阅：旧video路由到制作项目；剧本开发许可不能代替成片购买权益。</x:v>
      </x:c>
      <x:c r="H29" s="17" t="str">
        <x:v>队友固定提交审阅；业务代码差异仅文档已远端核验</x:v>
      </x:c>
      <x:c r="I29" s="17" t="str">
        <x:v>CORE-DEL-06</x:v>
      </x:c>
      <x:c r="J29" s="17" t="str">
        <x:v>UX-DEL-06</x:v>
      </x:c>
      <x:c r="K29" s="17" t="str">
        <x:v>REQ-008；REQ-024；REQ-035；REQ-038；REQ-051；REQ-053；REQ-054；REQ-055</x:v>
      </x:c>
      <x:c r="L29" s="17" t="str">
        <x:v>V5-003；V5-006；V5-027；V5-034</x:v>
      </x:c>
      <x:c r="M29" s="17" t="str">
        <x:v>V5 §2.1、2.3、3.6；队友审阅L69—72</x:v>
      </x:c>
      <x:c r="N29" s="17" t="str">
        <x:v>未按V5验收</x:v>
      </x:c>
    </x:row>
    <x:row r="30" ht="75" customHeight="1">
      <x:c r="A30" s="17" t="str">
        <x:v>DEL-06.02</x:v>
      </x:c>
      <x:c r="B30" s="17" t="str">
        <x:v>DEL-06</x:v>
      </x:c>
      <x:c r="C30" s="17" t="str">
        <x:v>发放幂等</x:v>
      </x:c>
      <x:c r="D30" s="17" t="str">
        <x:v>验签查单确认后发放购买权益。</x:v>
      </x:c>
      <x:c r="E30" s="17" t="str">
        <x:v>重复回调、重复点击不重复发权或扣款。</x:v>
      </x:c>
      <x:c r="F30" s="17" t="str">
        <x:v>新增业务</x:v>
      </x:c>
      <x:c r="G30" s="17" t="str">
        <x:v>队友审阅：旧video路由到制作项目；剧本开发许可不能代替成片购买权益。</x:v>
      </x:c>
      <x:c r="H30" s="17" t="str">
        <x:v>队友固定提交审阅；业务代码差异仅文档已远端核验</x:v>
      </x:c>
      <x:c r="I30" s="17" t="str">
        <x:v>CORE-DEL-06</x:v>
      </x:c>
      <x:c r="J30" s="17" t="str">
        <x:v>UX-DEL-06</x:v>
      </x:c>
      <x:c r="K30" s="17" t="str">
        <x:v>REQ-008；REQ-024；REQ-035；REQ-038；REQ-051；REQ-053；REQ-054；REQ-055</x:v>
      </x:c>
      <x:c r="L30" s="17" t="str">
        <x:v>V5-003；V5-006；V5-027；V5-034</x:v>
      </x:c>
      <x:c r="M30" s="17" t="str">
        <x:v>V5 §2.1、2.3、3.6；队友审阅L69—72</x:v>
      </x:c>
      <x:c r="N30" s="17" t="str">
        <x:v>未按V5验收</x:v>
      </x:c>
    </x:row>
    <x:row r="31" ht="75" customHeight="1">
      <x:c r="A31" s="17" t="str">
        <x:v>DEL-06.03</x:v>
      </x:c>
      <x:c r="B31" s="17" t="str">
        <x:v>DEL-06</x:v>
      </x:c>
      <x:c r="C31" s="17" t="str">
        <x:v>下载与许可</x:v>
      </x:c>
      <x:c r="D31" s="17" t="str">
        <x:v>按买家/已购版本/用途控制文件访问。</x:v>
      </x:c>
      <x:c r="E31" s="17" t="str">
        <x:v>链接过期可重取；退款/侵权处置须按规则控制新增分发。</x:v>
      </x:c>
      <x:c r="F31" s="17" t="str">
        <x:v>新增业务</x:v>
      </x:c>
      <x:c r="G31" s="17" t="str">
        <x:v>队友审阅：旧video路由到制作项目；剧本开发许可不能代替成片购买权益。</x:v>
      </x:c>
      <x:c r="H31" s="17" t="str">
        <x:v>队友固定提交审阅；业务代码差异仅文档已远端核验</x:v>
      </x:c>
      <x:c r="I31" s="17" t="str">
        <x:v>CORE-DEL-06</x:v>
      </x:c>
      <x:c r="J31" s="17" t="str">
        <x:v>UX-DEL-06</x:v>
      </x:c>
      <x:c r="K31" s="17" t="str">
        <x:v>REQ-008；REQ-024；REQ-035；REQ-038；REQ-051；REQ-053；REQ-054；REQ-055</x:v>
      </x:c>
      <x:c r="L31" s="17" t="str">
        <x:v>V5-003；V5-006；V5-027；V5-034</x:v>
      </x:c>
      <x:c r="M31" s="17" t="str">
        <x:v>V5 §2.1、2.3、3.6；队友审阅L69—72</x:v>
      </x:c>
      <x:c r="N31" s="17" t="str">
        <x:v>未按V5验收</x:v>
      </x:c>
    </x:row>
    <x:row r="32" ht="75" customHeight="1">
      <x:c r="A32" s="17" t="str">
        <x:v>DEL-06.04</x:v>
      </x:c>
      <x:c r="B32" s="17" t="str">
        <x:v>DEL-06</x:v>
      </x:c>
      <x:c r="C32" s="17" t="str">
        <x:v>交付时序</x:v>
      </x:c>
      <x:c r="D32" s="17" t="str">
        <x:v>付款解锁、验收、售后与清分分别记录。</x:v>
      </x:c>
      <x:c r="E32" s="17" t="str">
        <x:v>验收期限未定不能混用48小时、3天、7天。</x:v>
      </x:c>
      <x:c r="F32" s="17" t="str">
        <x:v>新增业务</x:v>
      </x:c>
      <x:c r="G32" s="17" t="str">
        <x:v>队友审阅：旧video路由到制作项目；剧本开发许可不能代替成片购买权益。</x:v>
      </x:c>
      <x:c r="H32" s="17" t="str">
        <x:v>队友固定提交审阅；业务代码差异仅文档已远端核验</x:v>
      </x:c>
      <x:c r="I32" s="17" t="str">
        <x:v>CORE-DEL-06</x:v>
      </x:c>
      <x:c r="J32" s="17" t="str">
        <x:v>UX-DEL-06</x:v>
      </x:c>
      <x:c r="K32" s="17" t="str">
        <x:v>REQ-008；REQ-024；REQ-035；REQ-038；REQ-051；REQ-053；REQ-054；REQ-055</x:v>
      </x:c>
      <x:c r="L32" s="17" t="str">
        <x:v>V5-003；V5-006；V5-027；V5-034</x:v>
      </x:c>
      <x:c r="M32" s="17" t="str">
        <x:v>V5 §2.1、2.3、3.6；队友审阅L69—72</x:v>
      </x:c>
      <x:c r="N32" s="17" t="str">
        <x:v>未按V5验收</x:v>
      </x:c>
    </x:row>
    <x:row r="33" ht="75" customHeight="1">
      <x:c r="A33" s="17" t="str">
        <x:v>DEL-07.01</x:v>
      </x:c>
      <x:c r="B33" s="17" t="str">
        <x:v>DEL-07</x:v>
      </x:c>
      <x:c r="C33" s="17" t="str">
        <x:v>类型化付款计划</x:v>
      </x:c>
      <x:c r="D33" s="17" t="str">
        <x:v>定制30%→累计90%→尾款10%；样片制作50/50；试镜总价一次支付。</x:v>
      </x:c>
      <x:c r="E33" s="17" t="str">
        <x:v>累计90%不能被实现为再付90%。</x:v>
      </x:c>
      <x:c r="F33" s="17" t="str">
        <x:v>复用扩展</x:v>
      </x:c>
      <x:c r="G33" s="17" t="str">
        <x:v>队友审阅：trade报价/订单/退款接口已接；客户端尚不能实际支付；真实通道待验证。</x:v>
      </x:c>
      <x:c r="H33" s="17" t="str">
        <x:v>队友固定提交审阅；业务代码差异仅文档已远端核验</x:v>
      </x:c>
      <x:c r="I33" s="17" t="str">
        <x:v>CORE-DEL-07</x:v>
      </x:c>
      <x:c r="J33" s="17" t="str">
        <x:v>UX-DEL-07</x:v>
      </x:c>
      <x:c r="K33" s="17" t="str">
        <x:v>REQ-001；REQ-002；REQ-005；REQ-008；REQ-034；REQ-038；REQ-042；REQ-053；REQ-058</x:v>
      </x:c>
      <x:c r="L33" s="17" t="str">
        <x:v>V5-006；V5-036</x:v>
      </x:c>
      <x:c r="M33" s="17" t="str">
        <x:v>V5 §2.10、3.4、3.6；队友审阅L32、99</x:v>
      </x:c>
      <x:c r="N33" s="17" t="str">
        <x:v>未按V5验收</x:v>
      </x:c>
    </x:row>
    <x:row r="34" ht="75" customHeight="1">
      <x:c r="A34" s="17" t="str">
        <x:v>DEL-07.02</x:v>
      </x:c>
      <x:c r="B34" s="17" t="str">
        <x:v>DEL-07</x:v>
      </x:c>
      <x:c r="C34" s="17" t="str">
        <x:v>真实收银接线</x:v>
      </x:c>
      <x:c r="D34" s="17" t="str">
        <x:v>调用已确认的渠道产品，回跳后向服务器查单。</x:v>
      </x:c>
      <x:c r="E34" s="17" t="str">
        <x:v>取消/超时/未知结果不冒充失败可重扣或成功。</x:v>
      </x:c>
      <x:c r="F34" s="17" t="str">
        <x:v>复用扩展</x:v>
      </x:c>
      <x:c r="G34" s="17" t="str">
        <x:v>队友审阅：trade报价/订单/退款接口已接；客户端尚不能实际支付；真实通道待验证。</x:v>
      </x:c>
      <x:c r="H34" s="17" t="str">
        <x:v>队友固定提交审阅；业务代码差异仅文档已远端核验</x:v>
      </x:c>
      <x:c r="I34" s="17" t="str">
        <x:v>CORE-DEL-07</x:v>
      </x:c>
      <x:c r="J34" s="17" t="str">
        <x:v>UX-DEL-07</x:v>
      </x:c>
      <x:c r="K34" s="17" t="str">
        <x:v>REQ-001；REQ-002；REQ-005；REQ-008；REQ-034；REQ-038；REQ-042；REQ-053；REQ-058</x:v>
      </x:c>
      <x:c r="L34" s="17" t="str">
        <x:v>V5-006；V5-036</x:v>
      </x:c>
      <x:c r="M34" s="17" t="str">
        <x:v>V5 §2.10、3.4、3.6；队友审阅L32、99</x:v>
      </x:c>
      <x:c r="N34" s="17" t="str">
        <x:v>未按V5验收</x:v>
      </x:c>
    </x:row>
    <x:row r="35" ht="75" customHeight="1">
      <x:c r="A35" s="17" t="str">
        <x:v>DEL-07.03</x:v>
      </x:c>
      <x:c r="B35" s="17" t="str">
        <x:v>DEL-07</x:v>
      </x:c>
      <x:c r="C35" s="17" t="str">
        <x:v>补差与订单变更</x:v>
      </x:c>
      <x:c r="D35" s="17" t="str">
        <x:v>订单内报价变更需对方确认并产生补差记录。</x:v>
      </x:c>
      <x:c r="E35" s="17" t="str">
        <x:v>不建transport_fee字段、不用聊天文字改历史实收。</x:v>
      </x:c>
      <x:c r="F35" s="17" t="str">
        <x:v>复用扩展</x:v>
      </x:c>
      <x:c r="G35" s="17" t="str">
        <x:v>队友审阅：trade报价/订单/退款接口已接；客户端尚不能实际支付；真实通道待验证。</x:v>
      </x:c>
      <x:c r="H35" s="17" t="str">
        <x:v>队友固定提交审阅；业务代码差异仅文档已远端核验</x:v>
      </x:c>
      <x:c r="I35" s="17" t="str">
        <x:v>CORE-DEL-07</x:v>
      </x:c>
      <x:c r="J35" s="17" t="str">
        <x:v>UX-DEL-07</x:v>
      </x:c>
      <x:c r="K35" s="17" t="str">
        <x:v>REQ-001；REQ-002；REQ-005；REQ-008；REQ-034；REQ-038；REQ-042；REQ-053；REQ-058</x:v>
      </x:c>
      <x:c r="L35" s="17" t="str">
        <x:v>V5-006；V5-036</x:v>
      </x:c>
      <x:c r="M35" s="17" t="str">
        <x:v>V5 §2.10、3.4、3.6；队友审阅L32、99</x:v>
      </x:c>
      <x:c r="N35" s="17" t="str">
        <x:v>未按V5验收</x:v>
      </x:c>
    </x:row>
    <x:row r="36" ht="75" customHeight="1">
      <x:c r="A36" s="17" t="str">
        <x:v>DEL-07.04</x:v>
      </x:c>
      <x:c r="B36" s="17" t="str">
        <x:v>DEL-07</x:v>
      </x:c>
      <x:c r="C36" s="17" t="str">
        <x:v>退款补救</x:v>
      </x:c>
      <x:c r="D36" s="17" t="str">
        <x:v>按订单行和履约证据申请，回调幂等、超额拦截、部分退款。</x:v>
      </x:c>
      <x:c r="E36" s="17" t="str">
        <x:v>退款已申请与原路到账分开；券/积分/返佣联动。</x:v>
      </x:c>
      <x:c r="F36" s="17" t="str">
        <x:v>复用扩展</x:v>
      </x:c>
      <x:c r="G36" s="17" t="str">
        <x:v>队友审阅：trade报价/订单/退款接口已接；客户端尚不能实际支付；真实通道待验证。</x:v>
      </x:c>
      <x:c r="H36" s="17" t="str">
        <x:v>队友固定提交审阅；业务代码差异仅文档已远端核验</x:v>
      </x:c>
      <x:c r="I36" s="17" t="str">
        <x:v>CORE-DEL-07</x:v>
      </x:c>
      <x:c r="J36" s="17" t="str">
        <x:v>UX-DEL-07</x:v>
      </x:c>
      <x:c r="K36" s="17" t="str">
        <x:v>REQ-001；REQ-002；REQ-005；REQ-008；REQ-034；REQ-038；REQ-042；REQ-053；REQ-058</x:v>
      </x:c>
      <x:c r="L36" s="17" t="str">
        <x:v>V5-006；V5-036</x:v>
      </x:c>
      <x:c r="M36" s="17" t="str">
        <x:v>V5 §2.10、3.4、3.6；队友审阅L32、99</x:v>
      </x:c>
      <x:c r="N36" s="17" t="str">
        <x:v>未按V5验收</x:v>
      </x:c>
    </x:row>
    <x:row r="37" ht="75" customHeight="1">
      <x:c r="A37" s="17" t="str">
        <x:v>DEL-08.01</x:v>
      </x:c>
      <x:c r="B37" s="17" t="str">
        <x:v>DEL-08</x:v>
      </x:c>
      <x:c r="C37" s="17" t="str">
        <x:v>两层计算</x:v>
      </x:c>
      <x:c r="D37" s="17" t="str">
        <x:v>样片18%、商单/试镜22%先扣，供给余额默认艺人80/MCN20。</x:v>
      </x:c>
      <x:c r="E37" s="17" t="str">
        <x:v>样片100元有MCN应为平台18、MCN16.40、艺人65.60（无推荐人）。</x:v>
      </x:c>
      <x:c r="F37" s="17" t="str">
        <x:v>必须改算法，保留旧版</x:v>
      </x:c>
      <x:c r="G37" s="17" t="str">
        <x:v>远端抽查gigs/policy.js及settlement/source.js：MCN从平台佣金扣，V5先扣平台再分供给；两个位置均绑定旧算法。</x:v>
      </x:c>
      <x:c r="H37" s="17" t="str">
        <x:v>本轮远端抽查＋队友固定提交审阅</x:v>
      </x:c>
      <x:c r="I37" s="17" t="str">
        <x:v>CORE-DEL-08</x:v>
      </x:c>
      <x:c r="J37" s="17" t="str">
        <x:v>UX-DEL-08</x:v>
      </x:c>
      <x:c r="K37" s="17" t="str">
        <x:v>REQ-004；REQ-005；REQ-016；REQ-018；REQ-019；REQ-030；REQ-042；REQ-057；REQ-058</x:v>
      </x:c>
      <x:c r="L37" s="17" t="str">
        <x:v>V5-006；V5-009；V5-033</x:v>
      </x:c>
      <x:c r="M37" s="17" t="str">
        <x:v>V5 §3.2—3.8；队友审阅L56—65</x:v>
      </x:c>
      <x:c r="N37" s="17" t="str">
        <x:v>未按V5验收</x:v>
      </x:c>
    </x:row>
    <x:row r="38" ht="75" customHeight="1">
      <x:c r="A38" s="17" t="str">
        <x:v>DEL-08.02</x:v>
      </x:c>
      <x:c r="B38" s="17" t="str">
        <x:v>DEL-08</x:v>
      </x:c>
      <x:c r="C38" s="17" t="str">
        <x:v>双重校验更新</x:v>
      </x:c>
      <x:c r="D38" s="17" t="str">
        <x:v>计算器与财务来源校验/目标应付同步分版本。</x:v>
      </x:c>
      <x:c r="E38" s="17" t="str">
        <x:v>不能只修gigs函数而被历史校验拒绝。</x:v>
      </x:c>
      <x:c r="F38" s="17" t="str">
        <x:v>必须改算法，保留旧版</x:v>
      </x:c>
      <x:c r="G38" s="17" t="str">
        <x:v>远端抽查gigs/policy.js及settlement/source.js：MCN从平台佣金扣，V5先扣平台再分供给；两个位置均绑定旧算法。</x:v>
      </x:c>
      <x:c r="H38" s="17" t="str">
        <x:v>本轮远端抽查＋队友固定提交审阅</x:v>
      </x:c>
      <x:c r="I38" s="17" t="str">
        <x:v>CORE-DEL-08</x:v>
      </x:c>
      <x:c r="J38" s="17" t="str">
        <x:v>UX-DEL-08</x:v>
      </x:c>
      <x:c r="K38" s="17" t="str">
        <x:v>REQ-004；REQ-005；REQ-016；REQ-018；REQ-019；REQ-030；REQ-042；REQ-057；REQ-058</x:v>
      </x:c>
      <x:c r="L38" s="17" t="str">
        <x:v>V5-006；V5-009；V5-033</x:v>
      </x:c>
      <x:c r="M38" s="17" t="str">
        <x:v>V5 §3.2—3.8；队友审阅L56—65</x:v>
      </x:c>
      <x:c r="N38" s="17" t="str">
        <x:v>未按V5验收</x:v>
      </x:c>
    </x:row>
    <x:row r="39" ht="75" customHeight="1">
      <x:c r="A39" s="17" t="str">
        <x:v>DEL-08.03</x:v>
      </x:c>
      <x:c r="B39" s="17" t="str">
        <x:v>DEL-08</x:v>
      </x:c>
      <x:c r="C39" s="17" t="str">
        <x:v>历史隔离</x:v>
      </x:c>
      <x:c r="D39" s="17" t="str">
        <x:v>旧订单按旧规则重放；新单用新规则；无法判定版本进复核。</x:v>
      </x:c>
      <x:c r="E39" s="17" t="str">
        <x:v>禁止给旧合同静默补V5费率或重算已付。</x:v>
      </x:c>
      <x:c r="F39" s="17" t="str">
        <x:v>必须改算法，保留旧版</x:v>
      </x:c>
      <x:c r="G39" s="17" t="str">
        <x:v>远端抽查gigs/policy.js及settlement/source.js：MCN从平台佣金扣，V5先扣平台再分供给；两个位置均绑定旧算法。</x:v>
      </x:c>
      <x:c r="H39" s="17" t="str">
        <x:v>本轮远端抽查＋队友固定提交审阅</x:v>
      </x:c>
      <x:c r="I39" s="17" t="str">
        <x:v>CORE-DEL-08</x:v>
      </x:c>
      <x:c r="J39" s="17" t="str">
        <x:v>UX-DEL-08</x:v>
      </x:c>
      <x:c r="K39" s="17" t="str">
        <x:v>REQ-004；REQ-005；REQ-016；REQ-018；REQ-019；REQ-030；REQ-042；REQ-057；REQ-058</x:v>
      </x:c>
      <x:c r="L39" s="17" t="str">
        <x:v>V5-006；V5-009；V5-033</x:v>
      </x:c>
      <x:c r="M39" s="17" t="str">
        <x:v>V5 §3.2—3.8；队友审阅L56—65</x:v>
      </x:c>
      <x:c r="N39" s="17" t="str">
        <x:v>未按V5验收</x:v>
      </x:c>
    </x:row>
    <x:row r="40" ht="75" customHeight="1">
      <x:c r="A40" s="17" t="str">
        <x:v>DEL-08.04</x:v>
      </x:c>
      <x:c r="B40" s="17" t="str">
        <x:v>DEL-08</x:v>
      </x:c>
      <x:c r="C40" s="17" t="str">
        <x:v>资金事实</x:v>
      </x:c>
      <x:c r="D40" s="17" t="str">
        <x:v>净留、MCN、艺人、推荐人总额守恒；退款及小额尾差有据。</x:v>
      </x:c>
      <x:c r="E40" s="17" t="str">
        <x:v>实际结算成功以通道证据为准；发行未来收入不从订单金额凭空分红。</x:v>
      </x:c>
      <x:c r="F40" s="17" t="str">
        <x:v>必须改算法，保留旧版</x:v>
      </x:c>
      <x:c r="G40" s="17" t="str">
        <x:v>远端抽查gigs/policy.js及settlement/source.js：MCN从平台佣金扣，V5先扣平台再分供给；两个位置均绑定旧算法。</x:v>
      </x:c>
      <x:c r="H40" s="17" t="str">
        <x:v>本轮远端抽查＋队友固定提交审阅</x:v>
      </x:c>
      <x:c r="I40" s="17" t="str">
        <x:v>CORE-DEL-08</x:v>
      </x:c>
      <x:c r="J40" s="17" t="str">
        <x:v>UX-DEL-08</x:v>
      </x:c>
      <x:c r="K40" s="17" t="str">
        <x:v>REQ-004；REQ-005；REQ-016；REQ-018；REQ-019；REQ-030；REQ-042；REQ-057；REQ-058</x:v>
      </x:c>
      <x:c r="L40" s="17" t="str">
        <x:v>V5-006；V5-009；V5-033</x:v>
      </x:c>
      <x:c r="M40" s="17" t="str">
        <x:v>V5 §3.2—3.8；队友审阅L56—65</x:v>
      </x:c>
      <x:c r="N40" s="17" t="str">
        <x:v>未按V5验收</x:v>
      </x:c>
    </x:row>
    <x:row r="41" ht="75" customHeight="1">
      <x:c r="A41" s="17" t="str">
        <x:v>DEL-09.01</x:v>
      </x:c>
      <x:c r="B41" s="17" t="str">
        <x:v>DEL-09</x:v>
      </x:c>
      <x:c r="C41" s="17" t="str">
        <x:v>可约与报价</x:v>
      </x:c>
      <x:c r="D41" s="17" t="str">
        <x:v>公开试镜开关与个人主页可见分开；总价含交通抽22%。</x:v>
      </x:c>
      <x:c r="E41" s="17" t="str">
        <x:v>不新增实报交通分账豁免或固定妆造菜单。</x:v>
      </x:c>
      <x:c r="F41" s="17" t="str">
        <x:v>新增业务</x:v>
      </x:c>
      <x:c r="G41" s="17" t="str">
        <x:v>队友审阅：/audition目前映射到公开项目Tab；线下预约履约链未形成。</x:v>
      </x:c>
      <x:c r="H41" s="17" t="str">
        <x:v>队友固定提交审阅；业务代码差异仅文档已远端核验</x:v>
      </x:c>
      <x:c r="I41" s="17" t="str">
        <x:v>CORE-DEL-09</x:v>
      </x:c>
      <x:c r="J41" s="17" t="str">
        <x:v>UX-DEL-09</x:v>
      </x:c>
      <x:c r="K41" s="17" t="str">
        <x:v>REQ-017；REQ-024；REQ-026；REQ-038；REQ-043</x:v>
      </x:c>
      <x:c r="L41" s="17" t="str">
        <x:v>V5-033</x:v>
      </x:c>
      <x:c r="M41" s="17" t="str">
        <x:v>V5 §2.4、2.10、3.3</x:v>
      </x:c>
      <x:c r="N41" s="17" t="str">
        <x:v>未按V5验收</x:v>
      </x:c>
    </x:row>
    <x:row r="42" ht="75" customHeight="1">
      <x:c r="A42" s="17" t="str">
        <x:v>DEL-09.02</x:v>
      </x:c>
      <x:c r="B42" s="17" t="str">
        <x:v>DEL-09</x:v>
      </x:c>
      <x:c r="C42" s="17" t="str">
        <x:v>先付后接拒</x:v>
      </x:c>
      <x:c r="D42" s="17" t="str">
        <x:v>付款托管成功后发邀约，艺人接受/拒绝/超时。</x:v>
      </x:c>
      <x:c r="E42" s="17" t="str">
        <x:v>未接受退款不得计成长、返佣或开放联系。</x:v>
      </x:c>
      <x:c r="F42" s="17" t="str">
        <x:v>新增业务</x:v>
      </x:c>
      <x:c r="G42" s="17" t="str">
        <x:v>队友审阅：/audition目前映射到公开项目Tab；线下预约履约链未形成。</x:v>
      </x:c>
      <x:c r="H42" s="17" t="str">
        <x:v>队友固定提交审阅；业务代码差异仅文档已远端核验</x:v>
      </x:c>
      <x:c r="I42" s="17" t="str">
        <x:v>CORE-DEL-09</x:v>
      </x:c>
      <x:c r="J42" s="17" t="str">
        <x:v>UX-DEL-09</x:v>
      </x:c>
      <x:c r="K42" s="17" t="str">
        <x:v>REQ-017；REQ-024；REQ-026；REQ-038；REQ-043</x:v>
      </x:c>
      <x:c r="L42" s="17" t="str">
        <x:v>V5-033</x:v>
      </x:c>
      <x:c r="M42" s="17" t="str">
        <x:v>V5 §2.4、2.10、3.3</x:v>
      </x:c>
      <x:c r="N42" s="17" t="str">
        <x:v>未按V5验收</x:v>
      </x:c>
    </x:row>
    <x:row r="43" ht="75" customHeight="1">
      <x:c r="A43" s="17" t="str">
        <x:v>DEL-09.03</x:v>
      </x:c>
      <x:c r="B43" s="17" t="str">
        <x:v>DEL-09</x:v>
      </x:c>
      <x:c r="C43" s="17" t="str">
        <x:v>履约与素材</x:v>
      </x:c>
      <x:c r="D43" s="17" t="str">
        <x:v>按约到场与6照1视频分别留痕，确认不以录用为条件。</x:v>
      </x:c>
      <x:c r="E43" s="17" t="str">
        <x:v>试镜费不自动购买后续出演/版权。</x:v>
      </x:c>
      <x:c r="F43" s="17" t="str">
        <x:v>新增业务</x:v>
      </x:c>
      <x:c r="G43" s="17" t="str">
        <x:v>队友审阅：/audition目前映射到公开项目Tab；线下预约履约链未形成。</x:v>
      </x:c>
      <x:c r="H43" s="17" t="str">
        <x:v>队友固定提交审阅；业务代码差异仅文档已远端核验</x:v>
      </x:c>
      <x:c r="I43" s="17" t="str">
        <x:v>CORE-DEL-09</x:v>
      </x:c>
      <x:c r="J43" s="17" t="str">
        <x:v>UX-DEL-09</x:v>
      </x:c>
      <x:c r="K43" s="17" t="str">
        <x:v>REQ-017；REQ-024；REQ-026；REQ-038；REQ-043</x:v>
      </x:c>
      <x:c r="L43" s="17" t="str">
        <x:v>V5-033</x:v>
      </x:c>
      <x:c r="M43" s="17" t="str">
        <x:v>V5 §2.4、2.10、3.3</x:v>
      </x:c>
      <x:c r="N43" s="17" t="str">
        <x:v>未按V5验收</x:v>
      </x:c>
    </x:row>
    <x:row r="44" ht="75" customHeight="1">
      <x:c r="A44" s="17" t="str">
        <x:v>DEL-09.04</x:v>
      </x:c>
      <x:c r="B44" s="17" t="str">
        <x:v>DEL-09</x:v>
      </x:c>
      <x:c r="C44" s="17" t="str">
        <x:v>异常与安全</x:v>
      </x:c>
      <x:c r="D44" s="17" t="str">
        <x:v>正规地点、改期、未到场、纠纷、超时确认任务与撤回。</x:v>
      </x:c>
      <x:c r="E44" s="17" t="str">
        <x:v>争议中不自动清分；素材长期复用要独立用途依据。</x:v>
      </x:c>
      <x:c r="F44" s="17" t="str">
        <x:v>新增业务</x:v>
      </x:c>
      <x:c r="G44" s="17" t="str">
        <x:v>队友审阅：/audition目前映射到公开项目Tab；线下预约履约链未形成。</x:v>
      </x:c>
      <x:c r="H44" s="17" t="str">
        <x:v>队友固定提交审阅；业务代码差异仅文档已远端核验</x:v>
      </x:c>
      <x:c r="I44" s="17" t="str">
        <x:v>CORE-DEL-09</x:v>
      </x:c>
      <x:c r="J44" s="17" t="str">
        <x:v>UX-DEL-09</x:v>
      </x:c>
      <x:c r="K44" s="17" t="str">
        <x:v>REQ-017；REQ-024；REQ-026；REQ-038；REQ-043</x:v>
      </x:c>
      <x:c r="L44" s="17" t="str">
        <x:v>V5-033</x:v>
      </x:c>
      <x:c r="M44" s="17" t="str">
        <x:v>V5 §2.4、2.10、3.3</x:v>
      </x:c>
      <x:c r="N44" s="17" t="str">
        <x:v>未按V5验收</x:v>
      </x:c>
    </x:row>
    <x:row r="45" ht="75" customHeight="1">
      <x:c r="A45" s="17" t="str">
        <x:v>DEL-10.01</x:v>
      </x:c>
      <x:c r="B45" s="17" t="str">
        <x:v>DEL-10</x:v>
      </x:c>
      <x:c r="C45" s="17" t="str">
        <x:v>六类结构</x:v>
      </x:c>
      <x:c r="D45" s="17" t="str">
        <x:v>按类型收集地点、用途、人数、时间或信息内容。</x:v>
      </x:c>
      <x:c r="E45" s="17" t="str">
        <x:v>平台通告不得由普通星探冒充官方发布。</x:v>
      </x:c>
      <x:c r="F45" s="17" t="str">
        <x:v>复用项目基础后新增聚合</x:v>
      </x:c>
      <x:c r="G45" s="17" t="str">
        <x:v>队友审阅：projects/gigs可复用；六类通告与星探资格未有完整闭环。</x:v>
      </x:c>
      <x:c r="H45" s="17" t="str">
        <x:v>队友固定提交审阅；业务代码差异仅文档已远端核验</x:v>
      </x:c>
      <x:c r="I45" s="17" t="str">
        <x:v>CORE-DEL-10</x:v>
      </x:c>
      <x:c r="J45" s="17" t="str">
        <x:v>UX-DEL-10</x:v>
      </x:c>
      <x:c r="K45" s="17" t="str">
        <x:v>REQ-009；REQ-017；REQ-024；REQ-025；REQ-026；REQ-031</x:v>
      </x:c>
      <x:c r="L45" s="17" t="str">
        <x:v>V5-034</x:v>
      </x:c>
      <x:c r="M45" s="17" t="str">
        <x:v>V5 §2.7、2.5；队友审阅L35、L88</x:v>
      </x:c>
      <x:c r="N45" s="17" t="str">
        <x:v>未按V5验收</x:v>
      </x:c>
    </x:row>
    <x:row r="46" ht="75" customHeight="1">
      <x:c r="A46" s="17" t="str">
        <x:v>DEL-10.02</x:v>
      </x:c>
      <x:c r="B46" s="17" t="str">
        <x:v>DEL-10</x:v>
      </x:c>
      <x:c r="C46" s="17" t="str">
        <x:v>权限矩阵</x:v>
      </x:c>
      <x:c r="D46" s="17" t="str">
        <x:v>普通实名买家、星探等级、机构各有可发布动作。</x:v>
      </x:c>
      <x:c r="E46" s="17" t="str">
        <x:v>前台隐藏之外必须有服务端动作鉴权。</x:v>
      </x:c>
      <x:c r="F46" s="17" t="str">
        <x:v>复用项目基础后新增聚合</x:v>
      </x:c>
      <x:c r="G46" s="17" t="str">
        <x:v>队友审阅：projects/gigs可复用；六类通告与星探资格未有完整闭环。</x:v>
      </x:c>
      <x:c r="H46" s="17" t="str">
        <x:v>队友固定提交审阅；业务代码差异仅文档已远端核验</x:v>
      </x:c>
      <x:c r="I46" s="17" t="str">
        <x:v>CORE-DEL-10</x:v>
      </x:c>
      <x:c r="J46" s="17" t="str">
        <x:v>UX-DEL-10</x:v>
      </x:c>
      <x:c r="K46" s="17" t="str">
        <x:v>REQ-009；REQ-017；REQ-024；REQ-025；REQ-026；REQ-031</x:v>
      </x:c>
      <x:c r="L46" s="17" t="str">
        <x:v>V5-034</x:v>
      </x:c>
      <x:c r="M46" s="17" t="str">
        <x:v>V5 §2.7、2.5；队友审阅L35、L88</x:v>
      </x:c>
      <x:c r="N46" s="17" t="str">
        <x:v>未按V5验收</x:v>
      </x:c>
    </x:row>
    <x:row r="47" ht="75" customHeight="1">
      <x:c r="A47" s="17" t="str">
        <x:v>DEL-10.03</x:v>
      </x:c>
      <x:c r="B47" s="17" t="str">
        <x:v>DEL-10</x:v>
      </x:c>
      <x:c r="C47" s="17" t="str">
        <x:v>通告非订单</x:v>
      </x:c>
      <x:c r="D47" s="17" t="str">
        <x:v>发布/报名与成交、角色授权分别记录。</x:v>
      </x:c>
      <x:c r="E47" s="17" t="str">
        <x:v>点击感兴趣不自动下单或授予角色。</x:v>
      </x:c>
      <x:c r="F47" s="17" t="str">
        <x:v>复用项目基础后新增聚合</x:v>
      </x:c>
      <x:c r="G47" s="17" t="str">
        <x:v>队友审阅：projects/gigs可复用；六类通告与星探资格未有完整闭环。</x:v>
      </x:c>
      <x:c r="H47" s="17" t="str">
        <x:v>队友固定提交审阅；业务代码差异仅文档已远端核验</x:v>
      </x:c>
      <x:c r="I47" s="17" t="str">
        <x:v>CORE-DEL-10</x:v>
      </x:c>
      <x:c r="J47" s="17" t="str">
        <x:v>UX-DEL-10</x:v>
      </x:c>
      <x:c r="K47" s="17" t="str">
        <x:v>REQ-009；REQ-017；REQ-024；REQ-025；REQ-026；REQ-031</x:v>
      </x:c>
      <x:c r="L47" s="17" t="str">
        <x:v>V5-034</x:v>
      </x:c>
      <x:c r="M47" s="17" t="str">
        <x:v>V5 §2.7、2.5；队友审阅L35、L88</x:v>
      </x:c>
      <x:c r="N47" s="17" t="str">
        <x:v>未按V5验收</x:v>
      </x:c>
    </x:row>
    <x:row r="48" ht="75" customHeight="1">
      <x:c r="A48" s="17" t="str">
        <x:v>DEL-10.04</x:v>
      </x:c>
      <x:c r="B48" s="17" t="str">
        <x:v>DEL-10</x:v>
      </x:c>
      <x:c r="C48" s="17" t="str">
        <x:v>周期与历史</x:v>
      </x:c>
      <x:c r="D48" s="17" t="str">
        <x:v>截止、下架、修订有版本；历史申请可查询。</x:v>
      </x:c>
      <x:c r="E48" s="17" t="str">
        <x:v>关键条件改动需告知已有申请人。</x:v>
      </x:c>
      <x:c r="F48" s="17" t="str">
        <x:v>复用项目基础后新增聚合</x:v>
      </x:c>
      <x:c r="G48" s="17" t="str">
        <x:v>队友审阅：projects/gigs可复用；六类通告与星探资格未有完整闭环。</x:v>
      </x:c>
      <x:c r="H48" s="17" t="str">
        <x:v>队友固定提交审阅；业务代码差异仅文档已远端核验</x:v>
      </x:c>
      <x:c r="I48" s="17" t="str">
        <x:v>CORE-DEL-10</x:v>
      </x:c>
      <x:c r="J48" s="17" t="str">
        <x:v>UX-DEL-10</x:v>
      </x:c>
      <x:c r="K48" s="17" t="str">
        <x:v>REQ-009；REQ-017；REQ-024；REQ-025；REQ-026；REQ-031</x:v>
      </x:c>
      <x:c r="L48" s="17" t="str">
        <x:v>V5-034</x:v>
      </x:c>
      <x:c r="M48" s="17" t="str">
        <x:v>V5 §2.7、2.5；队友审阅L35、L88</x:v>
      </x:c>
      <x:c r="N48" s="17" t="str">
        <x:v>未按V5验收</x:v>
      </x:c>
    </x:row>
    <x:row r="49" ht="75" customHeight="1">
      <x:c r="A49" s="17" t="str">
        <x:v>DEL-11.01</x:v>
      </x:c>
      <x:c r="B49" s="17" t="str">
        <x:v>DEL-11</x:v>
      </x:c>
      <x:c r="C49" s="17" t="str">
        <x:v>单向提交</x:v>
      </x:c>
      <x:c r="D49" s="17" t="str">
        <x:v>未成交只能结构化意向及素材投递。</x:v>
      </x:c>
      <x:c r="E49" s="17" t="str">
        <x:v>不能从submission接口建立自由聊天。</x:v>
      </x:c>
      <x:c r="F49" s="17" t="str">
        <x:v>新增业务</x:v>
      </x:c>
      <x:c r="G49" s="17" t="str">
        <x:v>队友审阅：现有商单提案不等于单向投稿＋客服转单；无完整对象生命周期。</x:v>
      </x:c>
      <x:c r="H49" s="17" t="str">
        <x:v>队友固定提交审阅；业务代码差异仅文档已远端核验</x:v>
      </x:c>
      <x:c r="I49" s="17" t="str">
        <x:v>CORE-DEL-11</x:v>
      </x:c>
      <x:c r="J49" s="17" t="str">
        <x:v>UX-DEL-11</x:v>
      </x:c>
      <x:c r="K49" s="17" t="str">
        <x:v>REQ-009；REQ-024；REQ-026；REQ-043；REQ-059</x:v>
      </x:c>
      <x:c r="L49" s="17" t="str">
        <x:v>V5-034</x:v>
      </x:c>
      <x:c r="M49" s="17" t="str">
        <x:v>V5 §2.5、2.6、2.8、2.10</x:v>
      </x:c>
      <x:c r="N49" s="17" t="str">
        <x:v>未按V5验收</x:v>
      </x:c>
    </x:row>
    <x:row r="50" ht="75" customHeight="1">
      <x:c r="A50" s="17" t="str">
        <x:v>DEL-11.02</x:v>
      </x:c>
      <x:c r="B50" s="17" t="str">
        <x:v>DEL-11</x:v>
      </x:c>
      <x:c r="C50" s="17" t="str">
        <x:v>三类投稿</x:v>
      </x:c>
      <x:c r="D50" s="17" t="str">
        <x:v>数字人形象、想演角色、想做剧分别收集材料与用途。</x:v>
      </x:c>
      <x:c r="E50" s="17" t="str">
        <x:v>发件人不能投递未获管理权的数字人素材。</x:v>
      </x:c>
      <x:c r="F50" s="17" t="str">
        <x:v>新增业务</x:v>
      </x:c>
      <x:c r="G50" s="17" t="str">
        <x:v>队友审阅：现有商单提案不等于单向投稿＋客服转单；无完整对象生命周期。</x:v>
      </x:c>
      <x:c r="H50" s="17" t="str">
        <x:v>队友固定提交审阅；业务代码差异仅文档已远端核验</x:v>
      </x:c>
      <x:c r="I50" s="17" t="str">
        <x:v>CORE-DEL-11</x:v>
      </x:c>
      <x:c r="J50" s="17" t="str">
        <x:v>UX-DEL-11</x:v>
      </x:c>
      <x:c r="K50" s="17" t="str">
        <x:v>REQ-009；REQ-024；REQ-026；REQ-043；REQ-059</x:v>
      </x:c>
      <x:c r="L50" s="17" t="str">
        <x:v>V5-034</x:v>
      </x:c>
      <x:c r="M50" s="17" t="str">
        <x:v>V5 §2.5、2.6、2.8、2.10</x:v>
      </x:c>
      <x:c r="N50" s="17" t="str">
        <x:v>未按V5验收</x:v>
      </x:c>
    </x:row>
    <x:row r="51" ht="75" customHeight="1">
      <x:c r="A51" s="17" t="str">
        <x:v>DEL-11.03</x:v>
      </x:c>
      <x:c r="B51" s="17" t="str">
        <x:v>DEL-11</x:v>
      </x:c>
      <x:c r="C51" s="17" t="str">
        <x:v>客服接管</x:v>
      </x:c>
      <x:c r="D51" s="17" t="str">
        <x:v>同意合作生成一次客服工单，指派并补需求报价。</x:v>
      </x:c>
      <x:c r="E51" s="17" t="str">
        <x:v>重复同意不得生成多个工单或多笔订单。</x:v>
      </x:c>
      <x:c r="F51" s="17" t="str">
        <x:v>新增业务</x:v>
      </x:c>
      <x:c r="G51" s="17" t="str">
        <x:v>队友审阅：现有商单提案不等于单向投稿＋客服转单；无完整对象生命周期。</x:v>
      </x:c>
      <x:c r="H51" s="17" t="str">
        <x:v>队友固定提交审阅；业务代码差异仅文档已远端核验</x:v>
      </x:c>
      <x:c r="I51" s="17" t="str">
        <x:v>CORE-DEL-11</x:v>
      </x:c>
      <x:c r="J51" s="17" t="str">
        <x:v>UX-DEL-11</x:v>
      </x:c>
      <x:c r="K51" s="17" t="str">
        <x:v>REQ-009；REQ-024；REQ-026；REQ-043；REQ-059</x:v>
      </x:c>
      <x:c r="L51" s="17" t="str">
        <x:v>V5-034</x:v>
      </x:c>
      <x:c r="M51" s="17" t="str">
        <x:v>V5 §2.5、2.6、2.8、2.10</x:v>
      </x:c>
      <x:c r="N51" s="17" t="str">
        <x:v>未按V5验收</x:v>
      </x:c>
    </x:row>
    <x:row r="52" ht="75" customHeight="1">
      <x:c r="A52" s="17" t="str">
        <x:v>DEL-11.04</x:v>
      </x:c>
      <x:c r="B52" s="17" t="str">
        <x:v>DEL-11</x:v>
      </x:c>
      <x:c r="C52" s="17" t="str">
        <x:v>关闭与通知</x:v>
      </x:c>
      <x:c r="D52" s="17" t="str">
        <x:v>婉拒、72小时等适用期限、撤回和关闭说明由规则确定。</x:v>
      </x:c>
      <x:c r="E52" s="17" t="str">
        <x:v>客服转单不抹掉原意向及授权范围。</x:v>
      </x:c>
      <x:c r="F52" s="17" t="str">
        <x:v>新增业务</x:v>
      </x:c>
      <x:c r="G52" s="17" t="str">
        <x:v>队友审阅：现有商单提案不等于单向投稿＋客服转单；无完整对象生命周期。</x:v>
      </x:c>
      <x:c r="H52" s="17" t="str">
        <x:v>队友固定提交审阅；业务代码差异仅文档已远端核验</x:v>
      </x:c>
      <x:c r="I52" s="17" t="str">
        <x:v>CORE-DEL-11</x:v>
      </x:c>
      <x:c r="J52" s="17" t="str">
        <x:v>UX-DEL-11</x:v>
      </x:c>
      <x:c r="K52" s="17" t="str">
        <x:v>REQ-009；REQ-024；REQ-026；REQ-043；REQ-059</x:v>
      </x:c>
      <x:c r="L52" s="17" t="str">
        <x:v>V5-034</x:v>
      </x:c>
      <x:c r="M52" s="17" t="str">
        <x:v>V5 §2.5、2.6、2.8、2.10</x:v>
      </x:c>
      <x:c r="N52" s="17" t="str">
        <x:v>未按V5验收</x:v>
      </x:c>
    </x:row>
    <x:row r="53" ht="75" customHeight="1">
      <x:c r="A53" s="17" t="str">
        <x:v>DEL-12.01</x:v>
      </x:c>
      <x:c r="B53" s="17" t="str">
        <x:v>DEL-12</x:v>
      </x:c>
      <x:c r="C53" s="17" t="str">
        <x:v>成立条件</x:v>
      </x:c>
      <x:c r="D53" s="17" t="str">
        <x:v>按2.10具体业务检查接受及约定付款，两者与普通感兴趣区分。</x:v>
      </x:c>
      <x:c r="E53" s="17" t="str">
        <x:v>已接受未付款的正式试镜不自动开聊或见私人联系方式。</x:v>
      </x:c>
      <x:c r="F53" s="17" t="str">
        <x:v>扩展已有通知，不冒充已完成IM</x:v>
      </x:c>
      <x:c r="G53" s="17" t="str">
        <x:v>队友审阅：operations只有通知/已读和对象纯文本留言；旧SQLite聊天不在当前MySQL主链。</x:v>
      </x:c>
      <x:c r="H53" s="17" t="str">
        <x:v>队友固定提交审阅；业务代码差异仅文档已远端核验</x:v>
      </x:c>
      <x:c r="I53" s="17" t="str">
        <x:v>CORE-DEL-12</x:v>
      </x:c>
      <x:c r="J53" s="17" t="str">
        <x:v>UX-DEL-12</x:v>
      </x:c>
      <x:c r="K53" s="17" t="str">
        <x:v>REQ-009；REQ-043；REQ-059</x:v>
      </x:c>
      <x:c r="L53" s="17" t="str">
        <x:v>V5-034</x:v>
      </x:c>
      <x:c r="M53" s="17" t="str">
        <x:v>V5 §2.8、2.10；队友审阅L74</x:v>
      </x:c>
      <x:c r="N53" s="17" t="str">
        <x:v>未按V5验收</x:v>
      </x:c>
    </x:row>
    <x:row r="54" ht="75" customHeight="1">
      <x:c r="A54" s="17" t="str">
        <x:v>DEL-12.02</x:v>
      </x:c>
      <x:c r="B54" s="17" t="str">
        <x:v>DEL-12</x:v>
      </x:c>
      <x:c r="C54" s="17" t="str">
        <x:v>消息能力</x:v>
      </x:c>
      <x:c r="D54" s="17" t="str">
        <x:v>文本、业务卡片、获准视频、客服入口、未读与失败重发。</x:v>
      </x:c>
      <x:c r="E54" s="17" t="str">
        <x:v>重复发送按幂等ID去重，失权成员深链拒绝。</x:v>
      </x:c>
      <x:c r="F54" s="17" t="str">
        <x:v>扩展已有通知，不冒充已完成IM</x:v>
      </x:c>
      <x:c r="G54" s="17" t="str">
        <x:v>队友审阅：operations只有通知/已读和对象纯文本留言；旧SQLite聊天不在当前MySQL主链。</x:v>
      </x:c>
      <x:c r="H54" s="17" t="str">
        <x:v>队友固定提交审阅；业务代码差异仅文档已远端核验</x:v>
      </x:c>
      <x:c r="I54" s="17" t="str">
        <x:v>CORE-DEL-12</x:v>
      </x:c>
      <x:c r="J54" s="17" t="str">
        <x:v>UX-DEL-12</x:v>
      </x:c>
      <x:c r="K54" s="17" t="str">
        <x:v>REQ-009；REQ-043；REQ-059</x:v>
      </x:c>
      <x:c r="L54" s="17" t="str">
        <x:v>V5-034</x:v>
      </x:c>
      <x:c r="M54" s="17" t="str">
        <x:v>V5 §2.8、2.10；队友审阅L74</x:v>
      </x:c>
      <x:c r="N54" s="17" t="str">
        <x:v>未按V5验收</x:v>
      </x:c>
    </x:row>
    <x:row r="55" ht="75" customHeight="1">
      <x:c r="A55" s="17" t="str">
        <x:v>DEL-12.03</x:v>
      </x:c>
      <x:c r="B55" s="17" t="str">
        <x:v>DEL-12</x:v>
      </x:c>
      <x:c r="C55" s="17" t="str">
        <x:v>风控与归档</x:v>
      </x:c>
      <x:c r="D55" s="17" t="str">
        <x:v>敏感内容留审计，纠纷冻结按规则，清分后只读归档。</x:v>
      </x:c>
      <x:c r="E55" s="17" t="str">
        <x:v>不得为了消息删库泄露审核内容或允许越权客服。</x:v>
      </x:c>
      <x:c r="F55" s="17" t="str">
        <x:v>扩展已有通知，不冒充已完成IM</x:v>
      </x:c>
      <x:c r="G55" s="17" t="str">
        <x:v>队友审阅：operations只有通知/已读和对象纯文本留言；旧SQLite聊天不在当前MySQL主链。</x:v>
      </x:c>
      <x:c r="H55" s="17" t="str">
        <x:v>队友固定提交审阅；业务代码差异仅文档已远端核验</x:v>
      </x:c>
      <x:c r="I55" s="17" t="str">
        <x:v>CORE-DEL-12</x:v>
      </x:c>
      <x:c r="J55" s="17" t="str">
        <x:v>UX-DEL-12</x:v>
      </x:c>
      <x:c r="K55" s="17" t="str">
        <x:v>REQ-009；REQ-043；REQ-059</x:v>
      </x:c>
      <x:c r="L55" s="17" t="str">
        <x:v>V5-034</x:v>
      </x:c>
      <x:c r="M55" s="17" t="str">
        <x:v>V5 §2.8、2.10；队友审阅L74</x:v>
      </x:c>
      <x:c r="N55" s="17" t="str">
        <x:v>未按V5验收</x:v>
      </x:c>
    </x:row>
    <x:row r="56" ht="75" customHeight="1">
      <x:c r="A56" s="17" t="str">
        <x:v>DEL-12.04</x:v>
      </x:c>
      <x:c r="B56" s="17" t="str">
        <x:v>DEL-12</x:v>
      </x:c>
      <x:c r="C56" s="17" t="str">
        <x:v>通知复用</x:v>
      </x:c>
      <x:c r="D56" s="17" t="str">
        <x:v>继续系统通知与对象留言历史；新会话使用独立权限。</x:v>
      </x:c>
      <x:c r="E56" s="17" t="str">
        <x:v>有通知测试通过不能计为双向会话完成。</x:v>
      </x:c>
      <x:c r="F56" s="17" t="str">
        <x:v>扩展已有通知，不冒充已完成IM</x:v>
      </x:c>
      <x:c r="G56" s="17" t="str">
        <x:v>队友审阅：operations只有通知/已读和对象纯文本留言；旧SQLite聊天不在当前MySQL主链。</x:v>
      </x:c>
      <x:c r="H56" s="17" t="str">
        <x:v>队友固定提交审阅；业务代码差异仅文档已远端核验</x:v>
      </x:c>
      <x:c r="I56" s="17" t="str">
        <x:v>CORE-DEL-12</x:v>
      </x:c>
      <x:c r="J56" s="17" t="str">
        <x:v>UX-DEL-12</x:v>
      </x:c>
      <x:c r="K56" s="17" t="str">
        <x:v>REQ-009；REQ-043；REQ-059</x:v>
      </x:c>
      <x:c r="L56" s="17" t="str">
        <x:v>V5-034</x:v>
      </x:c>
      <x:c r="M56" s="17" t="str">
        <x:v>V5 §2.8、2.10；队友审阅L74</x:v>
      </x:c>
      <x:c r="N56" s="17" t="str">
        <x:v>未按V5验收</x:v>
      </x:c>
    </x:row>
    <x:row r="57" ht="75" customHeight="1">
      <x:c r="A57" s="17" t="str">
        <x:v>DEL-13.01</x:v>
      </x:c>
      <x:c r="B57" s="17" t="str">
        <x:v>DEL-13</x:v>
      </x:c>
      <x:c r="C57" s="17" t="str">
        <x:v>停新不删旧</x:v>
      </x:c>
      <x:c r="D57" s="17" t="str">
        <x:v>作者自助本期不开放，作者角色和历史资料保留。</x:v>
      </x:c>
      <x:c r="E57" s="17" t="str">
        <x:v>不能用前台隐藏代替服务端停止新投稿。</x:v>
      </x:c>
      <x:c r="F57" s="17" t="str">
        <x:v>收回自助入口，保留历史</x:v>
      </x:c>
      <x:c r="G57" s="17" t="str">
        <x:v>队友审阅及远端导航：App仍有作者与作品入口；作品/许可/受控材料基础已实现。</x:v>
      </x:c>
      <x:c r="H57" s="17" t="str">
        <x:v>本轮远端抽查＋队友固定提交审阅</x:v>
      </x:c>
      <x:c r="I57" s="17" t="str">
        <x:v>CORE-DEL-13</x:v>
      </x:c>
      <x:c r="J57" s="17" t="str">
        <x:v>UX-DEL-13</x:v>
      </x:c>
      <x:c r="K57" s="17" t="str">
        <x:v>REQ-022；REQ-046；REQ-048；REQ-049；REQ-050；REQ-051；REQ-052；REQ-054；REQ-055；REQ-056；REQ-057；REQ-059</x:v>
      </x:c>
      <x:c r="L57" s="17" t="str">
        <x:v>V5-032；V5-035</x:v>
      </x:c>
      <x:c r="M57" s="17" t="str">
        <x:v>V5 §2.7；队友审阅L78</x:v>
      </x:c>
      <x:c r="N57" s="17" t="str">
        <x:v>未按V5验收</x:v>
      </x:c>
    </x:row>
    <x:row r="58" ht="75" customHeight="1">
      <x:c r="A58" s="17" t="str">
        <x:v>DEL-13.02</x:v>
      </x:c>
      <x:c r="B58" s="17" t="str">
        <x:v>DEL-13</x:v>
      </x:c>
      <x:c r="C58" s="17" t="str">
        <x:v>商务入库</x:v>
      </x:c>
      <x:c r="D58" s="17" t="str">
        <x:v>运营按有效岗位代录供稿和真实权利证据。</x:v>
      </x:c>
      <x:c r="E58" s="17" t="str">
        <x:v>代上传不等于代签、自动确权。</x:v>
      </x:c>
      <x:c r="F58" s="17" t="str">
        <x:v>收回自助入口，保留历史</x:v>
      </x:c>
      <x:c r="G58" s="17" t="str">
        <x:v>队友审阅及远端导航：App仍有作者与作品入口；作品/许可/受控材料基础已实现。</x:v>
      </x:c>
      <x:c r="H58" s="17" t="str">
        <x:v>本轮远端抽查＋队友固定提交审阅</x:v>
      </x:c>
      <x:c r="I58" s="17" t="str">
        <x:v>CORE-DEL-13</x:v>
      </x:c>
      <x:c r="J58" s="17" t="str">
        <x:v>UX-DEL-13</x:v>
      </x:c>
      <x:c r="K58" s="17" t="str">
        <x:v>REQ-022；REQ-046；REQ-048；REQ-049；REQ-050；REQ-051；REQ-052；REQ-054；REQ-055；REQ-056；REQ-057；REQ-059</x:v>
      </x:c>
      <x:c r="L58" s="17" t="str">
        <x:v>V5-032；V5-035</x:v>
      </x:c>
      <x:c r="M58" s="17" t="str">
        <x:v>V5 §2.7；队友审阅L78</x:v>
      </x:c>
      <x:c r="N58" s="17" t="str">
        <x:v>未按V5验收</x:v>
      </x:c>
    </x:row>
    <x:row r="59" ht="75" customHeight="1">
      <x:c r="A59" s="17" t="str">
        <x:v>DEL-13.03</x:v>
      </x:c>
      <x:c r="B59" s="17" t="str">
        <x:v>DEL-13</x:v>
      </x:c>
      <x:c r="C59" s="17" t="str">
        <x:v>版本用途</x:v>
      </x:c>
      <x:c r="D59" s="17" t="str">
        <x:v>本次制作引用确定稿本和许可，不永久绑定某数字人。</x:v>
      </x:c>
      <x:c r="E59" s="17" t="str">
        <x:v>新稿不覆盖已用旧版本。</x:v>
      </x:c>
      <x:c r="F59" s="17" t="str">
        <x:v>收回自助入口，保留历史</x:v>
      </x:c>
      <x:c r="G59" s="17" t="str">
        <x:v>队友审阅及远端导航：App仍有作者与作品入口；作品/许可/受控材料基础已实现。</x:v>
      </x:c>
      <x:c r="H59" s="17" t="str">
        <x:v>本轮远端抽查＋队友固定提交审阅</x:v>
      </x:c>
      <x:c r="I59" s="17" t="str">
        <x:v>CORE-DEL-13</x:v>
      </x:c>
      <x:c r="J59" s="17" t="str">
        <x:v>UX-DEL-13</x:v>
      </x:c>
      <x:c r="K59" s="17" t="str">
        <x:v>REQ-022；REQ-046；REQ-048；REQ-049；REQ-050；REQ-051；REQ-052；REQ-054；REQ-055；REQ-056；REQ-057；REQ-059</x:v>
      </x:c>
      <x:c r="L59" s="17" t="str">
        <x:v>V5-032；V5-035</x:v>
      </x:c>
      <x:c r="M59" s="17" t="str">
        <x:v>V5 §2.7；队友审阅L78</x:v>
      </x:c>
      <x:c r="N59" s="17" t="str">
        <x:v>未按V5验收</x:v>
      </x:c>
    </x:row>
    <x:row r="60" ht="75" customHeight="1">
      <x:c r="A60" s="17" t="str">
        <x:v>DEL-13.04</x:v>
      </x:c>
      <x:c r="B60" s="17" t="str">
        <x:v>DEL-13</x:v>
      </x:c>
      <x:c r="C60" s="17" t="str">
        <x:v>非标权限</x:v>
      </x:c>
      <x:c r="D60" s="17" t="str">
        <x:v>本期不另建固定档版权商城；按报价/合同记录独家与用途。</x:v>
      </x:c>
      <x:c r="E60" s="17" t="str">
        <x:v>不得把现货视频许可和剧本影视化许可混成一类。</x:v>
      </x:c>
      <x:c r="F60" s="17" t="str">
        <x:v>收回自助入口，保留历史</x:v>
      </x:c>
      <x:c r="G60" s="17" t="str">
        <x:v>队友审阅及远端导航：App仍有作者与作品入口；作品/许可/受控材料基础已实现。</x:v>
      </x:c>
      <x:c r="H60" s="17" t="str">
        <x:v>本轮远端抽查＋队友固定提交审阅</x:v>
      </x:c>
      <x:c r="I60" s="17" t="str">
        <x:v>CORE-DEL-13</x:v>
      </x:c>
      <x:c r="J60" s="17" t="str">
        <x:v>UX-DEL-13</x:v>
      </x:c>
      <x:c r="K60" s="17" t="str">
        <x:v>REQ-022；REQ-046；REQ-048；REQ-049；REQ-050；REQ-051；REQ-052；REQ-054；REQ-055；REQ-056；REQ-057；REQ-059</x:v>
      </x:c>
      <x:c r="L60" s="17" t="str">
        <x:v>V5-032；V5-035</x:v>
      </x:c>
      <x:c r="M60" s="17" t="str">
        <x:v>V5 §2.7；队友审阅L78</x:v>
      </x:c>
      <x:c r="N60" s="17" t="str">
        <x:v>未按V5验收</x:v>
      </x:c>
    </x:row>
    <x:row r="61" ht="75" customHeight="1">
      <x:c r="A61" s="17" t="str">
        <x:v>DEL-14.01</x:v>
      </x:c>
      <x:c r="B61" s="17" t="str">
        <x:v>DEL-14</x:v>
      </x:c>
      <x:c r="C61" s="17" t="str">
        <x:v>按品类动态</x:v>
      </x:c>
      <x:c r="D61" s="17" t="str">
        <x:v>不同品类显示对应字段和校验，不仅改标题。</x:v>
      </x:c>
      <x:c r="E61" s="17" t="str">
        <x:v>空白必填字段不得回退旧值并显示提交成功。</x:v>
      </x:c>
      <x:c r="F61" s="17" t="str">
        <x:v>新增业务</x:v>
      </x:c>
      <x:c r="G61" s="17" t="str">
        <x:v>队友审阅：无动态schema/草稿/补件API；PR0.5有字面模板、必填和品类字段问题。</x:v>
      </x:c>
      <x:c r="H61" s="17" t="str">
        <x:v>队友固定提交审阅；业务代码差异仅文档已远端核验</x:v>
      </x:c>
      <x:c r="I61" s="17" t="str">
        <x:v>CORE-DEL-14</x:v>
      </x:c>
      <x:c r="J61" s="17" t="str">
        <x:v>UX-DEL-14</x:v>
      </x:c>
      <x:c r="K61" s="17" t="str">
        <x:v>REQ-001；REQ-003；REQ-021；REQ-024；REQ-038；REQ-040；REQ-041；REQ-056；REQ-060</x:v>
      </x:c>
      <x:c r="L61" s="17" t="str">
        <x:v>V5-002；V5-004；V5-010</x:v>
      </x:c>
      <x:c r="M61" s="17" t="str">
        <x:v>V5 §2.12①—③；队友审阅L159—168</x:v>
      </x:c>
      <x:c r="N61" s="17" t="str">
        <x:v>未按V5验收</x:v>
      </x:c>
    </x:row>
    <x:row r="62" ht="75" customHeight="1">
      <x:c r="A62" s="17" t="str">
        <x:v>DEL-14.02</x:v>
      </x:c>
      <x:c r="B62" s="17" t="str">
        <x:v>DEL-14</x:v>
      </x:c>
      <x:c r="C62" s="17" t="str">
        <x:v>草稿及补件</x:v>
      </x:c>
      <x:c r="D62" s="17" t="str">
        <x:v>刷新恢复本人草稿；正式版本和后续补充分别记录。</x:v>
      </x:c>
      <x:c r="E62" s="17" t="str">
        <x:v>后台模板改动不悄悄改已提交故事。</x:v>
      </x:c>
      <x:c r="F62" s="17" t="str">
        <x:v>新增业务</x:v>
      </x:c>
      <x:c r="G62" s="17" t="str">
        <x:v>队友审阅：无动态schema/草稿/补件API；PR0.5有字面模板、必填和品类字段问题。</x:v>
      </x:c>
      <x:c r="H62" s="17" t="str">
        <x:v>队友固定提交审阅；业务代码差异仅文档已远端核验</x:v>
      </x:c>
      <x:c r="I62" s="17" t="str">
        <x:v>CORE-DEL-14</x:v>
      </x:c>
      <x:c r="J62" s="17" t="str">
        <x:v>UX-DEL-14</x:v>
      </x:c>
      <x:c r="K62" s="17" t="str">
        <x:v>REQ-001；REQ-003；REQ-021；REQ-024；REQ-038；REQ-040；REQ-041；REQ-056；REQ-060</x:v>
      </x:c>
      <x:c r="L62" s="17" t="str">
        <x:v>V5-002；V5-004；V5-010</x:v>
      </x:c>
      <x:c r="M62" s="17" t="str">
        <x:v>V5 §2.12①—③；队友审阅L159—168</x:v>
      </x:c>
      <x:c r="N62" s="17" t="str">
        <x:v>未按V5验收</x:v>
      </x:c>
    </x:row>
    <x:row r="63" ht="75" customHeight="1">
      <x:c r="A63" s="17" t="str">
        <x:v>DEL-14.03</x:v>
      </x:c>
      <x:c r="B63" s="17" t="str">
        <x:v>DEL-14</x:v>
      </x:c>
      <x:c r="C63" s="17" t="str">
        <x:v>隐私关系</x:v>
      </x:c>
      <x:c r="D63" s="17" t="str">
        <x:v>参与人和关系资料按本次制作目的收集。</x:v>
      </x:c>
      <x:c r="E63" s="17" t="str">
        <x:v>“平台拥有关系图”不自动允许营销或无限复用。</x:v>
      </x:c>
      <x:c r="F63" s="17" t="str">
        <x:v>新增业务</x:v>
      </x:c>
      <x:c r="G63" s="17" t="str">
        <x:v>队友审阅：无动态schema/草稿/补件API；PR0.5有字面模板、必填和品类字段问题。</x:v>
      </x:c>
      <x:c r="H63" s="17" t="str">
        <x:v>队友固定提交审阅；业务代码差异仅文档已远端核验</x:v>
      </x:c>
      <x:c r="I63" s="17" t="str">
        <x:v>CORE-DEL-14</x:v>
      </x:c>
      <x:c r="J63" s="17" t="str">
        <x:v>UX-DEL-14</x:v>
      </x:c>
      <x:c r="K63" s="17" t="str">
        <x:v>REQ-001；REQ-003；REQ-021；REQ-024；REQ-038；REQ-040；REQ-041；REQ-056；REQ-060</x:v>
      </x:c>
      <x:c r="L63" s="17" t="str">
        <x:v>V5-002；V5-004；V5-010</x:v>
      </x:c>
      <x:c r="M63" s="17" t="str">
        <x:v>V5 §2.12①—③；队友审阅L159—168</x:v>
      </x:c>
      <x:c r="N63" s="17" t="str">
        <x:v>未按V5验收</x:v>
      </x:c>
    </x:row>
    <x:row r="64" ht="75" customHeight="1">
      <x:c r="A64" s="17" t="str">
        <x:v>DEL-14.04</x:v>
      </x:c>
      <x:c r="B64" s="17" t="str">
        <x:v>DEL-14</x:v>
      </x:c>
      <x:c r="C64" s="17" t="str">
        <x:v>需求不等付款</x:v>
      </x:c>
      <x:c r="D64" s="17" t="str">
        <x:v>提交生成待受理工单/需求，报价及订单另关联。</x:v>
      </x:c>
      <x:c r="E64" s="17" t="str">
        <x:v>不因提交故事而标已付款或承诺已经开拍。</x:v>
      </x:c>
      <x:c r="F64" s="17" t="str">
        <x:v>新增业务</x:v>
      </x:c>
      <x:c r="G64" s="17" t="str">
        <x:v>队友审阅：无动态schema/草稿/补件API；PR0.5有字面模板、必填和品类字段问题。</x:v>
      </x:c>
      <x:c r="H64" s="17" t="str">
        <x:v>队友固定提交审阅；业务代码差异仅文档已远端核验</x:v>
      </x:c>
      <x:c r="I64" s="17" t="str">
        <x:v>CORE-DEL-14</x:v>
      </x:c>
      <x:c r="J64" s="17" t="str">
        <x:v>UX-DEL-14</x:v>
      </x:c>
      <x:c r="K64" s="17" t="str">
        <x:v>REQ-001；REQ-003；REQ-021；REQ-024；REQ-038；REQ-040；REQ-041；REQ-056；REQ-060</x:v>
      </x:c>
      <x:c r="L64" s="17" t="str">
        <x:v>V5-002；V5-004；V5-010</x:v>
      </x:c>
      <x:c r="M64" s="17" t="str">
        <x:v>V5 §2.12①—③；队友审阅L159—168</x:v>
      </x:c>
      <x:c r="N64" s="17" t="str">
        <x:v>未按V5验收</x:v>
      </x:c>
    </x:row>
    <x:row r="65" ht="75" customHeight="1">
      <x:c r="A65" s="17" t="str">
        <x:v>DEL-15.01</x:v>
      </x:c>
      <x:c r="B65" s="17" t="str">
        <x:v>DEL-15</x:v>
      </x:c>
      <x:c r="C65" s="17" t="str">
        <x:v>生产边界</x:v>
      </x:c>
      <x:c r="D65" s="17" t="str">
        <x:v>复杂视频由真人团队承制；内部工具不暴露为用户自助深度生成。</x:v>
      </x:c>
      <x:c r="E65" s="17" t="str">
        <x:v>不得恢复用户算力包/时长包/一键成片。</x:v>
      </x:c>
      <x:c r="F65" s="17" t="str">
        <x:v>扩展现有制作链，不重建</x:v>
      </x:c>
      <x:c r="G65" s="17" t="str">
        <x:v>远端抽查production/repository.js已有订单行建项目、派工、审查、文件、版本；队友确认反馈/验收/下载已具备基础。</x:v>
      </x:c>
      <x:c r="H65" s="17" t="str">
        <x:v>本轮远端抽查＋队友固定提交审阅</x:v>
      </x:c>
      <x:c r="I65" s="17" t="str">
        <x:v>CORE-DEL-15</x:v>
      </x:c>
      <x:c r="J65" s="17" t="str">
        <x:v>UX-DEL-15</x:v>
      </x:c>
      <x:c r="K65" s="17" t="str">
        <x:v>REQ-001；REQ-002；REQ-003；REQ-004；REQ-021；REQ-029；REQ-035；REQ-038；REQ-040；REQ-042；REQ-043</x:v>
      </x:c>
      <x:c r="L65" s="17" t="str">
        <x:v>V5-001；V5-002；V5-005；V5-006；V5-008</x:v>
      </x:c>
      <x:c r="M65" s="17" t="str">
        <x:v>V5 §2.12、3.4；队友审阅L67</x:v>
      </x:c>
      <x:c r="N65" s="17" t="str">
        <x:v>未按V5验收</x:v>
      </x:c>
    </x:row>
    <x:row r="66" ht="75" customHeight="1">
      <x:c r="A66" s="17" t="str">
        <x:v>DEL-15.02</x:v>
      </x:c>
      <x:c r="B66" s="17" t="str">
        <x:v>DEL-15</x:v>
      </x:c>
      <x:c r="C66" s="17" t="str">
        <x:v>复用制作核心</x:v>
      </x:c>
      <x:c r="D66" s="17" t="str">
        <x:v>订单行、受派人、权利审查、版本、反馈和下载沿用。</x:v>
      </x:c>
      <x:c r="E66" s="17" t="str">
        <x:v>新的custom_order只是扩展/映射，不重复记账。</x:v>
      </x:c>
      <x:c r="F66" s="17" t="str">
        <x:v>扩展现有制作链，不重建</x:v>
      </x:c>
      <x:c r="G66" s="17" t="str">
        <x:v>远端抽查production/repository.js已有订单行建项目、派工、审查、文件、版本；队友确认反馈/验收/下载已具备基础。</x:v>
      </x:c>
      <x:c r="H66" s="17" t="str">
        <x:v>本轮远端抽查＋队友固定提交审阅</x:v>
      </x:c>
      <x:c r="I66" s="17" t="str">
        <x:v>CORE-DEL-15</x:v>
      </x:c>
      <x:c r="J66" s="17" t="str">
        <x:v>UX-DEL-15</x:v>
      </x:c>
      <x:c r="K66" s="17" t="str">
        <x:v>REQ-001；REQ-002；REQ-003；REQ-004；REQ-021；REQ-029；REQ-035；REQ-038；REQ-040；REQ-042；REQ-043</x:v>
      </x:c>
      <x:c r="L66" s="17" t="str">
        <x:v>V5-001；V5-002；V5-005；V5-006；V5-008</x:v>
      </x:c>
      <x:c r="M66" s="17" t="str">
        <x:v>V5 §2.12、3.4；队友审阅L67</x:v>
      </x:c>
      <x:c r="N66" s="17" t="str">
        <x:v>未按V5验收</x:v>
      </x:c>
    </x:row>
    <x:row r="67" ht="75" customHeight="1">
      <x:c r="A67" s="17" t="str">
        <x:v>DEL-15.03</x:v>
      </x:c>
      <x:c r="B67" s="17" t="str">
        <x:v>DEL-15</x:v>
      </x:c>
      <x:c r="C67" s="17" t="str">
        <x:v>关键节点</x:v>
      </x:c>
      <x:c r="D67" s="17" t="str">
        <x:v>报价/授权/首款完成后开工；预览确认、累计90%、尾款10%与最终验收分别留痕。</x:v>
      </x:c>
      <x:c r="E67" s="17" t="str">
        <x:v>客户确认样片不自动最终验收；大变更使受影响确认失效。</x:v>
      </x:c>
      <x:c r="F67" s="17" t="str">
        <x:v>扩展现有制作链，不重建</x:v>
      </x:c>
      <x:c r="G67" s="17" t="str">
        <x:v>远端抽查production/repository.js已有订单行建项目、派工、审查、文件、版本；队友确认反馈/验收/下载已具备基础。</x:v>
      </x:c>
      <x:c r="H67" s="17" t="str">
        <x:v>本轮远端抽查＋队友固定提交审阅</x:v>
      </x:c>
      <x:c r="I67" s="17" t="str">
        <x:v>CORE-DEL-15</x:v>
      </x:c>
      <x:c r="J67" s="17" t="str">
        <x:v>UX-DEL-15</x:v>
      </x:c>
      <x:c r="K67" s="17" t="str">
        <x:v>REQ-001；REQ-002；REQ-003；REQ-004；REQ-021；REQ-029；REQ-035；REQ-038；REQ-040；REQ-042；REQ-043</x:v>
      </x:c>
      <x:c r="L67" s="17" t="str">
        <x:v>V5-001；V5-002；V5-005；V5-006；V5-008</x:v>
      </x:c>
      <x:c r="M67" s="17" t="str">
        <x:v>V5 §2.12、3.4；队友审阅L67</x:v>
      </x:c>
      <x:c r="N67" s="17" t="str">
        <x:v>未按V5验收</x:v>
      </x:c>
    </x:row>
    <x:row r="68" ht="75" customHeight="1">
      <x:c r="A68" s="17" t="str">
        <x:v>DEL-15.04</x:v>
      </x:c>
      <x:c r="B68" s="17" t="str">
        <x:v>DEL-15</x:v>
      </x:c>
      <x:c r="C68" s="17" t="str">
        <x:v>交付与返修</x:v>
      </x:c>
      <x:c r="D68" s="17" t="str">
        <x:v>正式文件与内部稿分开，修改/错误纠正、延期售后可追踪。</x:v>
      </x:c>
      <x:c r="E68" s="17" t="str">
        <x:v>未实现外部服务只显示待条件，不生成虚假正式成片。</x:v>
      </x:c>
      <x:c r="F68" s="17" t="str">
        <x:v>扩展现有制作链，不重建</x:v>
      </x:c>
      <x:c r="G68" s="17" t="str">
        <x:v>远端抽查production/repository.js已有订单行建项目、派工、审查、文件、版本；队友确认反馈/验收/下载已具备基础。</x:v>
      </x:c>
      <x:c r="H68" s="17" t="str">
        <x:v>本轮远端抽查＋队友固定提交审阅</x:v>
      </x:c>
      <x:c r="I68" s="17" t="str">
        <x:v>CORE-DEL-15</x:v>
      </x:c>
      <x:c r="J68" s="17" t="str">
        <x:v>UX-DEL-15</x:v>
      </x:c>
      <x:c r="K68" s="17" t="str">
        <x:v>REQ-001；REQ-002；REQ-003；REQ-004；REQ-021；REQ-029；REQ-035；REQ-038；REQ-040；REQ-042；REQ-043</x:v>
      </x:c>
      <x:c r="L68" s="17" t="str">
        <x:v>V5-001；V5-002；V5-005；V5-006；V5-008</x:v>
      </x:c>
      <x:c r="M68" s="17" t="str">
        <x:v>V5 §2.12、3.4；队友审阅L67</x:v>
      </x:c>
      <x:c r="N68" s="17" t="str">
        <x:v>未按V5验收</x:v>
      </x:c>
    </x:row>
    <x:row r="69" ht="75" customHeight="1">
      <x:c r="A69" s="17" t="str">
        <x:v>DEL-16.01</x:v>
      </x:c>
      <x:c r="B69" s="17" t="str">
        <x:v>DEL-16</x:v>
      </x:c>
      <x:c r="C69" s="17" t="str">
        <x:v>一人多角色去重</x:v>
      </x:c>
      <x:c r="D69" s="17" t="str">
        <x:v>发起人整包付款；按不同真实权利人计数。</x:v>
      </x:c>
      <x:c r="E69" s="17" t="str">
        <x:v>同人创建第2个数字人不能把9人变10人。</x:v>
      </x:c>
      <x:c r="F69" s="17" t="str">
        <x:v>新增业务</x:v>
      </x:c>
      <x:c r="G69" s="17" t="str">
        <x:v>队友审阅：公开项目报名/阵容不能代替共创真实权利人去重；新业务模型未建。</x:v>
      </x:c>
      <x:c r="H69" s="17" t="str">
        <x:v>队友固定提交审阅；业务代码差异仅文档已远端核验</x:v>
      </x:c>
      <x:c r="I69" s="17" t="str">
        <x:v>CORE-DEL-16</x:v>
      </x:c>
      <x:c r="J69" s="17" t="str">
        <x:v>UX-DEL-16</x:v>
      </x:c>
      <x:c r="K69" s="17" t="str">
        <x:v>REQ-007；REQ-010；REQ-026；REQ-029；REQ-037；REQ-038；REQ-042</x:v>
      </x:c>
      <x:c r="L69" s="17" t="str">
        <x:v>V5-007；V5-008；V5-040</x:v>
      </x:c>
      <x:c r="M69" s="17" t="str">
        <x:v>V5 §2.12④、3.5；队友审阅L96</x:v>
      </x:c>
      <x:c r="N69" s="17" t="str">
        <x:v>未按V5验收</x:v>
      </x:c>
    </x:row>
    <x:row r="70" ht="75" customHeight="1">
      <x:c r="A70" s="17" t="str">
        <x:v>DEL-16.02</x:v>
      </x:c>
      <x:c r="B70" s="17" t="str">
        <x:v>DEL-16</x:v>
      </x:c>
      <x:c r="C70" s="17" t="str">
        <x:v>人数与开工</x:v>
      </x:c>
      <x:c r="D70" s="17" t="str">
        <x:v>10人只是人数门槛，付款/授权/资料齐备再申请开工。</x:v>
      </x:c>
      <x:c r="E70" s="17" t="str">
        <x:v>人数够但许可缺失不得自动制作。</x:v>
      </x:c>
      <x:c r="F70" s="17" t="str">
        <x:v>新增业务</x:v>
      </x:c>
      <x:c r="G70" s="17" t="str">
        <x:v>队友审阅：公开项目报名/阵容不能代替共创真实权利人去重；新业务模型未建。</x:v>
      </x:c>
      <x:c r="H70" s="17" t="str">
        <x:v>队友固定提交审阅；业务代码差异仅文档已远端核验</x:v>
      </x:c>
      <x:c r="I70" s="17" t="str">
        <x:v>CORE-DEL-16</x:v>
      </x:c>
      <x:c r="J70" s="17" t="str">
        <x:v>UX-DEL-16</x:v>
      </x:c>
      <x:c r="K70" s="17" t="str">
        <x:v>REQ-007；REQ-010；REQ-026；REQ-029；REQ-037；REQ-038；REQ-042</x:v>
      </x:c>
      <x:c r="L70" s="17" t="str">
        <x:v>V5-007；V5-008；V5-040</x:v>
      </x:c>
      <x:c r="M70" s="17" t="str">
        <x:v>V5 §2.12④、3.5；队友审阅L96</x:v>
      </x:c>
      <x:c r="N70" s="17" t="str">
        <x:v>未按V5验收</x:v>
      </x:c>
    </x:row>
    <x:row r="71" ht="75" customHeight="1">
      <x:c r="A71" s="17" t="str">
        <x:v>DEL-16.03</x:v>
      </x:c>
      <x:c r="B71" s="17" t="str">
        <x:v>DEL-16</x:v>
      </x:c>
      <x:c r="C71" s="17" t="str">
        <x:v>20人权益</x:v>
      </x:c>
      <x:c r="D71" s="17" t="str">
        <x:v>免发起人个人参与费，非全单免费、非现金；锁定时点待规则。</x:v>
      </x:c>
      <x:c r="E71" s="17" t="str">
        <x:v>退出后重新评估未锁权益，不改已确认历史承诺。</x:v>
      </x:c>
      <x:c r="F71" s="17" t="str">
        <x:v>新增业务</x:v>
      </x:c>
      <x:c r="G71" s="17" t="str">
        <x:v>队友审阅：公开项目报名/阵容不能代替共创真实权利人去重；新业务模型未建。</x:v>
      </x:c>
      <x:c r="H71" s="17" t="str">
        <x:v>队友固定提交审阅；业务代码差异仅文档已远端核验</x:v>
      </x:c>
      <x:c r="I71" s="17" t="str">
        <x:v>CORE-DEL-16</x:v>
      </x:c>
      <x:c r="J71" s="17" t="str">
        <x:v>UX-DEL-16</x:v>
      </x:c>
      <x:c r="K71" s="17" t="str">
        <x:v>REQ-007；REQ-010；REQ-026；REQ-029；REQ-037；REQ-038；REQ-042</x:v>
      </x:c>
      <x:c r="L71" s="17" t="str">
        <x:v>V5-007；V5-008；V5-040</x:v>
      </x:c>
      <x:c r="M71" s="17" t="str">
        <x:v>V5 §2.12④、3.5；队友审阅L96</x:v>
      </x:c>
      <x:c r="N71" s="17" t="str">
        <x:v>未按V5验收</x:v>
      </x:c>
    </x:row>
    <x:row r="72" ht="75" customHeight="1">
      <x:c r="A72" s="17" t="str">
        <x:v>DEL-16.04</x:v>
      </x:c>
      <x:c r="B72" s="17" t="str">
        <x:v>DEL-16</x:v>
      </x:c>
      <x:c r="C72" s="17" t="str">
        <x:v>失败和退出</x:v>
      </x:c>
      <x:c r="D72" s="17" t="str">
        <x:v>未达10人延期或退款，开工后撤回暂停受影响部分；个人片段单独授权。</x:v>
      </x:c>
      <x:c r="E72" s="17" t="str">
        <x:v>成员不能读取他人的私人故事或未经授权下载完整素材。</x:v>
      </x:c>
      <x:c r="F72" s="17" t="str">
        <x:v>新增业务</x:v>
      </x:c>
      <x:c r="G72" s="17" t="str">
        <x:v>队友审阅：公开项目报名/阵容不能代替共创真实权利人去重；新业务模型未建。</x:v>
      </x:c>
      <x:c r="H72" s="17" t="str">
        <x:v>队友固定提交审阅；业务代码差异仅文档已远端核验</x:v>
      </x:c>
      <x:c r="I72" s="17" t="str">
        <x:v>CORE-DEL-16</x:v>
      </x:c>
      <x:c r="J72" s="17" t="str">
        <x:v>UX-DEL-16</x:v>
      </x:c>
      <x:c r="K72" s="17" t="str">
        <x:v>REQ-007；REQ-010；REQ-026；REQ-029；REQ-037；REQ-038；REQ-042</x:v>
      </x:c>
      <x:c r="L72" s="17" t="str">
        <x:v>V5-007；V5-008；V5-040</x:v>
      </x:c>
      <x:c r="M72" s="17" t="str">
        <x:v>V5 §2.12④、3.5；队友审阅L96</x:v>
      </x:c>
      <x:c r="N72" s="17" t="str">
        <x:v>未按V5验收</x:v>
      </x:c>
    </x:row>
    <x:row r="73" ht="75" customHeight="1">
      <x:c r="A73" s="17" t="str">
        <x:v>DEL-17.01</x:v>
      </x:c>
      <x:c r="B73" s="17" t="str">
        <x:v>DEL-17</x:v>
      </x:c>
      <x:c r="C73" s="17" t="str">
        <x:v>四类余额分开</x:v>
      </x:c>
      <x:c r="D73" s="17" t="str">
        <x:v>现金储值、供应方应付、可用晶钻、制作券分别展示。</x:v>
      </x:c>
      <x:c r="E73" s="17" t="str">
        <x:v>不得用应付账当消费者钱包。</x:v>
      </x:c>
      <x:c r="F73" s="17" t="str">
        <x:v>新增业务，非供应方余额</x:v>
      </x:c>
      <x:c r="G73" s="17" t="str">
        <x:v>队友审阅：当前finance余额是合作方应付，没有消费者储值/会员年业务。</x:v>
      </x:c>
      <x:c r="H73" s="17" t="str">
        <x:v>队友固定提交审阅；业务代码差异仅文档已远端核验</x:v>
      </x:c>
      <x:c r="I73" s="17" t="str">
        <x:v>CORE-DEL-17</x:v>
      </x:c>
      <x:c r="J73" s="17" t="str">
        <x:v>UX-DEL-17</x:v>
      </x:c>
      <x:c r="K73" s="17" t="str">
        <x:v>REQ-005；REQ-008；REQ-019；REQ-024；REQ-031；REQ-037；REQ-042</x:v>
      </x:c>
      <x:c r="L73" s="17" t="str">
        <x:v>V5-018；V5-019；V5-025；V5-038</x:v>
      </x:c>
      <x:c r="M73" s="17" t="str">
        <x:v>V5 §2.5、3.1、2.14</x:v>
      </x:c>
      <x:c r="N73" s="17" t="str">
        <x:v>未按V5验收</x:v>
      </x:c>
    </x:row>
    <x:row r="74" ht="75" customHeight="1">
      <x:c r="A74" s="17" t="str">
        <x:v>DEL-17.02</x:v>
      </x:c>
      <x:c r="B74" s="17" t="str">
        <x:v>DEL-17</x:v>
      </x:c>
      <x:c r="C74" s="17" t="str">
        <x:v>充值与消费</x:v>
      </x:c>
      <x:c r="D74" s="17" t="str">
        <x:v>充值成功仅增可消费余额，未消费不发晶钻。</x:v>
      </x:c>
      <x:c r="E74" s="17" t="str">
        <x:v>余额消费不得再次计一笔充值或重复确认收入。</x:v>
      </x:c>
      <x:c r="F74" s="17" t="str">
        <x:v>新增业务，非供应方余额</x:v>
      </x:c>
      <x:c r="G74" s="17" t="str">
        <x:v>队友审阅：当前finance余额是合作方应付，没有消费者储值/会员年业务。</x:v>
      </x:c>
      <x:c r="H74" s="17" t="str">
        <x:v>队友固定提交审阅；业务代码差异仅文档已远端核验</x:v>
      </x:c>
      <x:c r="I74" s="17" t="str">
        <x:v>CORE-DEL-17</x:v>
      </x:c>
      <x:c r="J74" s="17" t="str">
        <x:v>UX-DEL-17</x:v>
      </x:c>
      <x:c r="K74" s="17" t="str">
        <x:v>REQ-005；REQ-008；REQ-019；REQ-024；REQ-031；REQ-037；REQ-042</x:v>
      </x:c>
      <x:c r="L74" s="17" t="str">
        <x:v>V5-018；V5-019；V5-025；V5-038</x:v>
      </x:c>
      <x:c r="M74" s="17" t="str">
        <x:v>V5 §2.5、3.1、2.14</x:v>
      </x:c>
      <x:c r="N74" s="17" t="str">
        <x:v>未按V5验收</x:v>
      </x:c>
    </x:row>
    <x:row r="75" ht="75" customHeight="1">
      <x:c r="A75" s="17" t="str">
        <x:v>DEL-17.03</x:v>
      </x:c>
      <x:c r="B75" s="17" t="str">
        <x:v>DEL-17</x:v>
      </x:c>
      <x:c r="C75" s="17" t="str">
        <x:v>会员年</x:v>
      </x:c>
      <x:c r="D75" s="17" t="str">
        <x:v>300资格/续期、到期冻结、等级保留和恢复按独立期间。</x:v>
      </x:c>
      <x:c r="E75" s="17" t="str">
        <x:v>首次达标不能同次无限续多年；未定边界只阻塞该策略。</x:v>
      </x:c>
      <x:c r="F75" s="17" t="str">
        <x:v>新增业务，非供应方余额</x:v>
      </x:c>
      <x:c r="G75" s="17" t="str">
        <x:v>队友审阅：当前finance余额是合作方应付，没有消费者储值/会员年业务。</x:v>
      </x:c>
      <x:c r="H75" s="17" t="str">
        <x:v>队友固定提交审阅；业务代码差异仅文档已远端核验</x:v>
      </x:c>
      <x:c r="I75" s="17" t="str">
        <x:v>CORE-DEL-17</x:v>
      </x:c>
      <x:c r="J75" s="17" t="str">
        <x:v>UX-DEL-17</x:v>
      </x:c>
      <x:c r="K75" s="17" t="str">
        <x:v>REQ-005；REQ-008；REQ-019；REQ-024；REQ-031；REQ-037；REQ-042</x:v>
      </x:c>
      <x:c r="L75" s="17" t="str">
        <x:v>V5-018；V5-019；V5-025；V5-038</x:v>
      </x:c>
      <x:c r="M75" s="17" t="str">
        <x:v>V5 §2.5、3.1、2.14</x:v>
      </x:c>
      <x:c r="N75" s="17" t="str">
        <x:v>未按V5验收</x:v>
      </x:c>
    </x:row>
    <x:row r="76" ht="75" customHeight="1">
      <x:c r="A76" s="17" t="str">
        <x:v>DEL-17.04</x:v>
      </x:c>
      <x:c r="B76" s="17" t="str">
        <x:v>DEL-17</x:v>
      </x:c>
      <x:c r="C76" s="17" t="str">
        <x:v>退款与限额</x:v>
      </x:c>
      <x:c r="D76" s="17" t="str">
        <x:v>退款来源拆分、误充、限额和冷静期，通道能力待验。</x:v>
      </x:c>
      <x:c r="E76" s="17" t="str">
        <x:v>不可提现说明不等于可以拒绝依法应处理的退款。</x:v>
      </x:c>
      <x:c r="F76" s="17" t="str">
        <x:v>新增业务，非供应方余额</x:v>
      </x:c>
      <x:c r="G76" s="17" t="str">
        <x:v>队友审阅：当前finance余额是合作方应付，没有消费者储值/会员年业务。</x:v>
      </x:c>
      <x:c r="H76" s="17" t="str">
        <x:v>队友固定提交审阅；业务代码差异仅文档已远端核验</x:v>
      </x:c>
      <x:c r="I76" s="17" t="str">
        <x:v>CORE-DEL-17</x:v>
      </x:c>
      <x:c r="J76" s="17" t="str">
        <x:v>UX-DEL-17</x:v>
      </x:c>
      <x:c r="K76" s="17" t="str">
        <x:v>REQ-005；REQ-008；REQ-019；REQ-024；REQ-031；REQ-037；REQ-042</x:v>
      </x:c>
      <x:c r="L76" s="17" t="str">
        <x:v>V5-018；V5-019；V5-025；V5-038</x:v>
      </x:c>
      <x:c r="M76" s="17" t="str">
        <x:v>V5 §2.5、3.1、2.14</x:v>
      </x:c>
      <x:c r="N76" s="17" t="str">
        <x:v>未按V5验收</x:v>
      </x:c>
    </x:row>
    <x:row r="77" ht="75" customHeight="1">
      <x:c r="A77" s="17" t="str">
        <x:v>DEL-18.01</x:v>
      </x:c>
      <x:c r="B77" s="17" t="str">
        <x:v>DEL-18</x:v>
      </x:c>
      <x:c r="C77" s="17" t="str">
        <x:v>事件唯一</x:v>
      </x:c>
      <x:c r="D77" s="17" t="str">
        <x:v>每笔合格成交只发一次积分，免费奖励独立来源。</x:v>
      </x:c>
      <x:c r="E77" s="17" t="str">
        <x:v>重复通知不得重复发分；充值事件不发分。</x:v>
      </x:c>
      <x:c r="F77" s="17" t="str">
        <x:v>新增业务</x:v>
      </x:c>
      <x:c r="G77" s="17" t="str">
        <x:v>队友审阅：积分ledger及消费事件业务均未有活跃主接口。</x:v>
      </x:c>
      <x:c r="H77" s="17" t="str">
        <x:v>队友固定提交审阅；业务代码差异仅文档已远端核验</x:v>
      </x:c>
      <x:c r="I77" s="17" t="str">
        <x:v>CORE-DEL-18</x:v>
      </x:c>
      <x:c r="J77" s="17" t="str">
        <x:v>UX-DEL-18</x:v>
      </x:c>
      <x:c r="K77" s="17" t="str">
        <x:v>REQ-020；REQ-024；REQ-042</x:v>
      </x:c>
      <x:c r="L77" s="17" t="str">
        <x:v>V5-018；V5-019</x:v>
      </x:c>
      <x:c r="M77" s="17" t="str">
        <x:v>V5 §1.3、2.5、2.13；信用成长专项§4</x:v>
      </x:c>
      <x:c r="N77" s="17" t="str">
        <x:v>未按V5验收</x:v>
      </x:c>
    </x:row>
    <x:row r="78" ht="75" customHeight="1">
      <x:c r="A78" s="17" t="str">
        <x:v>DEL-18.02</x:v>
      </x:c>
      <x:c r="B78" s="17" t="str">
        <x:v>DEL-18</x:v>
      </x:c>
      <x:c r="C78" s="17" t="str">
        <x:v>可用与成长</x:v>
      </x:c>
      <x:c r="D78" s="17" t="str">
        <x:v>花积分不降累计等级；哪些赠分计成长按裁决。</x:v>
      </x:c>
      <x:c r="E78" s="17" t="str">
        <x:v>不得因为叫“只有一套晶钻”就共用一个可变余额字段。</x:v>
      </x:c>
      <x:c r="F78" s="17" t="str">
        <x:v>新增业务</x:v>
      </x:c>
      <x:c r="G78" s="17" t="str">
        <x:v>队友审阅：积分ledger及消费事件业务均未有活跃主接口。</x:v>
      </x:c>
      <x:c r="H78" s="17" t="str">
        <x:v>队友固定提交审阅；业务代码差异仅文档已远端核验</x:v>
      </x:c>
      <x:c r="I78" s="17" t="str">
        <x:v>CORE-DEL-18</x:v>
      </x:c>
      <x:c r="J78" s="17" t="str">
        <x:v>UX-DEL-18</x:v>
      </x:c>
      <x:c r="K78" s="17" t="str">
        <x:v>REQ-020；REQ-024；REQ-042</x:v>
      </x:c>
      <x:c r="L78" s="17" t="str">
        <x:v>V5-018；V5-019</x:v>
      </x:c>
      <x:c r="M78" s="17" t="str">
        <x:v>V5 §1.3、2.5、2.13；信用成长专项§4</x:v>
      </x:c>
      <x:c r="N78" s="17" t="str">
        <x:v>未按V5验收</x:v>
      </x:c>
    </x:row>
    <x:row r="79" ht="75" customHeight="1">
      <x:c r="A79" s="17" t="str">
        <x:v>DEL-18.03</x:v>
      </x:c>
      <x:c r="B79" s="17" t="str">
        <x:v>DEL-18</x:v>
      </x:c>
      <x:c r="C79" s="17" t="str">
        <x:v>期限及来源</x:v>
      </x:c>
      <x:c r="D79" s="17" t="str">
        <x:v>365天按来源批次执行；实际渠道限制另有标记。</x:v>
      </x:c>
      <x:c r="E79" s="17" t="str">
        <x:v>不假设存在IAP购分SKU；不能将全部历史积分默认过期。</x:v>
      </x:c>
      <x:c r="F79" s="17" t="str">
        <x:v>新增业务</x:v>
      </x:c>
      <x:c r="G79" s="17" t="str">
        <x:v>队友审阅：积分ledger及消费事件业务均未有活跃主接口。</x:v>
      </x:c>
      <x:c r="H79" s="17" t="str">
        <x:v>队友固定提交审阅；业务代码差异仅文档已远端核验</x:v>
      </x:c>
      <x:c r="I79" s="17" t="str">
        <x:v>CORE-DEL-18</x:v>
      </x:c>
      <x:c r="J79" s="17" t="str">
        <x:v>UX-DEL-18</x:v>
      </x:c>
      <x:c r="K79" s="17" t="str">
        <x:v>REQ-020；REQ-024；REQ-042</x:v>
      </x:c>
      <x:c r="L79" s="17" t="str">
        <x:v>V5-018；V5-019</x:v>
      </x:c>
      <x:c r="M79" s="17" t="str">
        <x:v>V5 §1.3、2.5、2.13；信用成长专项§4</x:v>
      </x:c>
      <x:c r="N79" s="17" t="str">
        <x:v>未按V5验收</x:v>
      </x:c>
    </x:row>
    <x:row r="80" ht="75" customHeight="1">
      <x:c r="A80" s="17" t="str">
        <x:v>DEL-18.04</x:v>
      </x:c>
      <x:c r="B80" s="17" t="str">
        <x:v>DEL-18</x:v>
      </x:c>
      <x:c r="C80" s="17" t="str">
        <x:v>冲回与负债</x:v>
      </x:c>
      <x:c r="D80" s="17" t="str">
        <x:v>退款/撤单冲回对应来源及成长，已花积分处理待规则。</x:v>
      </x:c>
      <x:c r="E80" s="17" t="str">
        <x:v>不得直接把余额归零丢失历史原因。</x:v>
      </x:c>
      <x:c r="F80" s="17" t="str">
        <x:v>新增业务</x:v>
      </x:c>
      <x:c r="G80" s="17" t="str">
        <x:v>队友审阅：积分ledger及消费事件业务均未有活跃主接口。</x:v>
      </x:c>
      <x:c r="H80" s="17" t="str">
        <x:v>队友固定提交审阅；业务代码差异仅文档已远端核验</x:v>
      </x:c>
      <x:c r="I80" s="17" t="str">
        <x:v>CORE-DEL-18</x:v>
      </x:c>
      <x:c r="J80" s="17" t="str">
        <x:v>UX-DEL-18</x:v>
      </x:c>
      <x:c r="K80" s="17" t="str">
        <x:v>REQ-020；REQ-024；REQ-042</x:v>
      </x:c>
      <x:c r="L80" s="17" t="str">
        <x:v>V5-018；V5-019</x:v>
      </x:c>
      <x:c r="M80" s="17" t="str">
        <x:v>V5 §1.3、2.5、2.13；信用成长专项§4</x:v>
      </x:c>
      <x:c r="N80" s="17" t="str">
        <x:v>未按V5验收</x:v>
      </x:c>
    </x:row>
    <x:row r="81" ht="75" customHeight="1">
      <x:c r="A81" s="17" t="str">
        <x:v>DEL-19.01</x:v>
      </x:c>
      <x:c r="B81" s="17" t="str">
        <x:v>DEL-19</x:v>
      </x:c>
      <x:c r="C81" s="17" t="str">
        <x:v>三维分离</x:v>
      </x:c>
      <x:c r="D81" s="17" t="str">
        <x:v>主角光环、接单成长、服务评分独立计算。</x:v>
      </x:c>
      <x:c r="E81" s="17" t="str">
        <x:v>不能把付审核费直接当高服务评分。</x:v>
      </x:c>
      <x:c r="F81" s="17" t="str">
        <x:v>新增并替换旧三榜口径</x:v>
      </x:c>
      <x:c r="G81" s="17" t="str">
        <x:v>队友审阅：旧gigs热度/新兴/区域快照不等于艺人六榜、光环/等级/好评和买家城市榜。</x:v>
      </x:c>
      <x:c r="H81" s="17" t="str">
        <x:v>队友固定提交审阅；业务代码差异仅文档已远端核验</x:v>
      </x:c>
      <x:c r="I81" s="17" t="str">
        <x:v>CORE-DEL-19</x:v>
      </x:c>
      <x:c r="J81" s="17" t="str">
        <x:v>UX-DEL-19</x:v>
      </x:c>
      <x:c r="K81" s="17" t="str">
        <x:v>REQ-020；REQ-023；REQ-024</x:v>
      </x:c>
      <x:c r="L81" s="17" t="str">
        <x:v>V5-017；V5-036</x:v>
      </x:c>
      <x:c r="M81" s="17" t="str">
        <x:v>V5 §1.3、2.2、2.6、2.11；信用成长专项</x:v>
      </x:c>
      <x:c r="N81" s="17" t="str">
        <x:v>未按V5验收</x:v>
      </x:c>
    </x:row>
    <x:row r="82" ht="75" customHeight="1">
      <x:c r="A82" s="17" t="str">
        <x:v>DEL-19.02</x:v>
      </x:c>
      <x:c r="B82" s="17" t="str">
        <x:v>DEL-19</x:v>
      </x:c>
      <x:c r="C82" s="17" t="str">
        <x:v>城市与六榜</x:v>
      </x:c>
      <x:c r="D82" s="17" t="str">
        <x:v>等级/新人/好评/销量/人气/复购及城市分区按正式规则。</x:v>
      </x:c>
      <x:c r="E82" s="17" t="str">
        <x:v>数据不足显示真实不足，不伪造榜首。</x:v>
      </x:c>
      <x:c r="F82" s="17" t="str">
        <x:v>新增并替换旧三榜口径</x:v>
      </x:c>
      <x:c r="G82" s="17" t="str">
        <x:v>队友审阅：旧gigs热度/新兴/区域快照不等于艺人六榜、光环/等级/好评和买家城市榜。</x:v>
      </x:c>
      <x:c r="H82" s="17" t="str">
        <x:v>队友固定提交审阅；业务代码差异仅文档已远端核验</x:v>
      </x:c>
      <x:c r="I82" s="17" t="str">
        <x:v>CORE-DEL-19</x:v>
      </x:c>
      <x:c r="J82" s="17" t="str">
        <x:v>UX-DEL-19</x:v>
      </x:c>
      <x:c r="K82" s="17" t="str">
        <x:v>REQ-020；REQ-023；REQ-024</x:v>
      </x:c>
      <x:c r="L82" s="17" t="str">
        <x:v>V5-017；V5-036</x:v>
      </x:c>
      <x:c r="M82" s="17" t="str">
        <x:v>V5 §1.3、2.2、2.6、2.11；信用成长专项</x:v>
      </x:c>
      <x:c r="N82" s="17" t="str">
        <x:v>未按V5验收</x:v>
      </x:c>
    </x:row>
    <x:row r="83" ht="75" customHeight="1">
      <x:c r="A83" s="17" t="str">
        <x:v>DEL-19.03</x:v>
      </x:c>
      <x:c r="B83" s="17" t="str">
        <x:v>DEL-19</x:v>
      </x:c>
      <x:c r="C83" s="17" t="str">
        <x:v>买家榜</x:v>
      </x:c>
      <x:c r="D83" s="17" t="str">
        <x:v>按有效身份、城市和成长等规则生成可追溯快照。</x:v>
      </x:c>
      <x:c r="E83" s="17" t="str">
        <x:v>免费赠分是否计等级待统一，不能各端计算不同。</x:v>
      </x:c>
      <x:c r="F83" s="17" t="str">
        <x:v>新增并替换旧三榜口径</x:v>
      </x:c>
      <x:c r="G83" s="17" t="str">
        <x:v>队友审阅：旧gigs热度/新兴/区域快照不等于艺人六榜、光环/等级/好评和买家城市榜。</x:v>
      </x:c>
      <x:c r="H83" s="17" t="str">
        <x:v>队友固定提交审阅；业务代码差异仅文档已远端核验</x:v>
      </x:c>
      <x:c r="I83" s="17" t="str">
        <x:v>CORE-DEL-19</x:v>
      </x:c>
      <x:c r="J83" s="17" t="str">
        <x:v>UX-DEL-19</x:v>
      </x:c>
      <x:c r="K83" s="17" t="str">
        <x:v>REQ-020；REQ-023；REQ-024</x:v>
      </x:c>
      <x:c r="L83" s="17" t="str">
        <x:v>V5-017；V5-036</x:v>
      </x:c>
      <x:c r="M83" s="17" t="str">
        <x:v>V5 §1.3、2.2、2.6、2.11；信用成长专项</x:v>
      </x:c>
      <x:c r="N83" s="17" t="str">
        <x:v>未按V5验收</x:v>
      </x:c>
    </x:row>
    <x:row r="84" ht="75" customHeight="1">
      <x:c r="A84" s="17" t="str">
        <x:v>DEL-19.04</x:v>
      </x:c>
      <x:c r="B84" s="17" t="str">
        <x:v>DEL-19</x:v>
      </x:c>
      <x:c r="C84" s="17" t="str">
        <x:v>推广预留</x:v>
      </x:c>
      <x:c r="D84" s="17" t="str">
        <x:v>仅保留配置和结构，不上线购买投流/广告。</x:v>
      </x:c>
      <x:c r="E84" s="17" t="str">
        <x:v>中奖曝光另作奖励权益兑现，不被误当未来付费广告删掉。</x:v>
      </x:c>
      <x:c r="F84" s="17" t="str">
        <x:v>新增并替换旧三榜口径</x:v>
      </x:c>
      <x:c r="G84" s="17" t="str">
        <x:v>队友审阅：旧gigs热度/新兴/区域快照不等于艺人六榜、光环/等级/好评和买家城市榜。</x:v>
      </x:c>
      <x:c r="H84" s="17" t="str">
        <x:v>队友固定提交审阅；业务代码差异仅文档已远端核验</x:v>
      </x:c>
      <x:c r="I84" s="17" t="str">
        <x:v>CORE-DEL-19</x:v>
      </x:c>
      <x:c r="J84" s="17" t="str">
        <x:v>UX-DEL-19</x:v>
      </x:c>
      <x:c r="K84" s="17" t="str">
        <x:v>REQ-020；REQ-023；REQ-024</x:v>
      </x:c>
      <x:c r="L84" s="17" t="str">
        <x:v>V5-017；V5-036</x:v>
      </x:c>
      <x:c r="M84" s="17" t="str">
        <x:v>V5 §1.3、2.2、2.6、2.11；信用成长专项</x:v>
      </x:c>
      <x:c r="N84" s="17" t="str">
        <x:v>未按V5验收</x:v>
      </x:c>
    </x:row>
    <x:row r="85" ht="75" customHeight="1">
      <x:c r="A85" s="17" t="str">
        <x:v>DEL-20.01</x:v>
      </x:c>
      <x:c r="B85" s="17" t="str">
        <x:v>DEL-20</x:v>
      </x:c>
      <x:c r="C85" s="17" t="str">
        <x:v>归因</x:v>
      </x:c>
      <x:c r="D85" s="17" t="str">
        <x:v>直推一层、7天及末次规则有唯一命中和证据。</x:v>
      </x:c>
      <x:c r="E85" s="17" t="str">
        <x:v>设备重试或多次点击不重复计佣。</x:v>
      </x:c>
      <x:c r="F85" s="17" t="str">
        <x:v>新增业务，与MCN分开</x:v>
      </x:c>
      <x:c r="G85" s="17" t="str">
        <x:v>队友审阅：当前直接MCN佣金不等于KOC归因；7天/自购排除/退款冲回未有闭环。</x:v>
      </x:c>
      <x:c r="H85" s="17" t="str">
        <x:v>队友固定提交审阅；业务代码差异仅文档已远端核验</x:v>
      </x:c>
      <x:c r="I85" s="17" t="str">
        <x:v>CORE-DEL-20</x:v>
      </x:c>
      <x:c r="J85" s="17" t="str">
        <x:v>UX-DEL-20</x:v>
      </x:c>
      <x:c r="K85" s="17" t="str">
        <x:v>REQ-004；REQ-016；REQ-018；REQ-019；REQ-042</x:v>
      </x:c>
      <x:c r="L85" s="17" t="str">
        <x:v>V5-009</x:v>
      </x:c>
      <x:c r="M85" s="17" t="str">
        <x:v>V5 §2.12④、3.3、3.5；队友审阅L95</x:v>
      </x:c>
      <x:c r="N85" s="17" t="str">
        <x:v>未按V5验收</x:v>
      </x:c>
    </x:row>
    <x:row r="86" ht="75" customHeight="1">
      <x:c r="A86" s="17" t="str">
        <x:v>DEL-20.02</x:v>
      </x:c>
      <x:c r="B86" s="17" t="str">
        <x:v>DEL-20</x:v>
      </x:c>
      <x:c r="C86" s="17" t="str">
        <x:v>费率</x:v>
      </x:c>
      <x:c r="D86" s="17" t="str">
        <x:v>样片7.2%、商单6.6%从平台佣金列支；定制/共创10与10—15冲突待生效表。</x:v>
      </x:c>
      <x:c r="E86" s="17" t="str">
        <x:v>不能挤占艺人/MCN本金来平衡返点。</x:v>
      </x:c>
      <x:c r="F86" s="17" t="str">
        <x:v>新增业务，与MCN分开</x:v>
      </x:c>
      <x:c r="G86" s="17" t="str">
        <x:v>队友审阅：当前直接MCN佣金不等于KOC归因；7天/自购排除/退款冲回未有闭环。</x:v>
      </x:c>
      <x:c r="H86" s="17" t="str">
        <x:v>队友固定提交审阅；业务代码差异仅文档已远端核验</x:v>
      </x:c>
      <x:c r="I86" s="17" t="str">
        <x:v>CORE-DEL-20</x:v>
      </x:c>
      <x:c r="J86" s="17" t="str">
        <x:v>UX-DEL-20</x:v>
      </x:c>
      <x:c r="K86" s="17" t="str">
        <x:v>REQ-004；REQ-016；REQ-018；REQ-019；REQ-042</x:v>
      </x:c>
      <x:c r="L86" s="17" t="str">
        <x:v>V5-009</x:v>
      </x:c>
      <x:c r="M86" s="17" t="str">
        <x:v>V5 §2.12④、3.3、3.5；队友审阅L95</x:v>
      </x:c>
      <x:c r="N86" s="17" t="str">
        <x:v>未按V5验收</x:v>
      </x:c>
    </x:row>
    <x:row r="87" ht="75" customHeight="1">
      <x:c r="A87" s="17" t="str">
        <x:v>DEL-20.03</x:v>
      </x:c>
      <x:c r="B87" s="17" t="str">
        <x:v>DEL-20</x:v>
      </x:c>
      <x:c r="C87" s="17" t="str">
        <x:v>结佣</x:v>
      </x:c>
      <x:c r="D87" s="17" t="str">
        <x:v>售后结束且真实履约/支付成立后才可结佣。</x:v>
      </x:c>
      <x:c r="E87" s="17" t="str">
        <x:v>无推荐人份额归平台，自购和虚假交易不返。</x:v>
      </x:c>
      <x:c r="F87" s="17" t="str">
        <x:v>新增业务，与MCN分开</x:v>
      </x:c>
      <x:c r="G87" s="17" t="str">
        <x:v>队友审阅：当前直接MCN佣金不等于KOC归因；7天/自购排除/退款冲回未有闭环。</x:v>
      </x:c>
      <x:c r="H87" s="17" t="str">
        <x:v>队友固定提交审阅；业务代码差异仅文档已远端核验</x:v>
      </x:c>
      <x:c r="I87" s="17" t="str">
        <x:v>CORE-DEL-20</x:v>
      </x:c>
      <x:c r="J87" s="17" t="str">
        <x:v>UX-DEL-20</x:v>
      </x:c>
      <x:c r="K87" s="17" t="str">
        <x:v>REQ-004；REQ-016；REQ-018；REQ-019；REQ-042</x:v>
      </x:c>
      <x:c r="L87" s="17" t="str">
        <x:v>V5-009</x:v>
      </x:c>
      <x:c r="M87" s="17" t="str">
        <x:v>V5 §2.12④、3.3、3.5；队友审阅L95</x:v>
      </x:c>
      <x:c r="N87" s="17" t="str">
        <x:v>未按V5验收</x:v>
      </x:c>
    </x:row>
    <x:row r="88" ht="75" customHeight="1">
      <x:c r="A88" s="17" t="str">
        <x:v>DEL-20.04</x:v>
      </x:c>
      <x:c r="B88" s="17" t="str">
        <x:v>DEL-20</x:v>
      </x:c>
      <x:c r="C88" s="17" t="str">
        <x:v>逆向</x:v>
      </x:c>
      <x:c r="D88" s="17" t="str">
        <x:v>部分退款按原快照冲回；追偿和实际到账独立。</x:v>
      </x:c>
      <x:c r="E88" s="17" t="str">
        <x:v>MCN管理关系改变不得改旧单推荐人。</x:v>
      </x:c>
      <x:c r="F88" s="17" t="str">
        <x:v>新增业务，与MCN分开</x:v>
      </x:c>
      <x:c r="G88" s="17" t="str">
        <x:v>队友审阅：当前直接MCN佣金不等于KOC归因；7天/自购排除/退款冲回未有闭环。</x:v>
      </x:c>
      <x:c r="H88" s="17" t="str">
        <x:v>队友固定提交审阅；业务代码差异仅文档已远端核验</x:v>
      </x:c>
      <x:c r="I88" s="17" t="str">
        <x:v>CORE-DEL-20</x:v>
      </x:c>
      <x:c r="J88" s="17" t="str">
        <x:v>UX-DEL-20</x:v>
      </x:c>
      <x:c r="K88" s="17" t="str">
        <x:v>REQ-004；REQ-016；REQ-018；REQ-019；REQ-042</x:v>
      </x:c>
      <x:c r="L88" s="17" t="str">
        <x:v>V5-009</x:v>
      </x:c>
      <x:c r="M88" s="17" t="str">
        <x:v>V5 §2.12④、3.3、3.5；队友审阅L95</x:v>
      </x:c>
      <x:c r="N88" s="17" t="str">
        <x:v>未按V5验收</x:v>
      </x:c>
    </x:row>
    <x:row r="89" ht="75" customHeight="1">
      <x:c r="A89" s="17" t="str">
        <x:v>DEL-21.01</x:v>
      </x:c>
      <x:c r="B89" s="17" t="str">
        <x:v>DEL-21</x:v>
      </x:c>
      <x:c r="C89" s="17" t="str">
        <x:v>奖项版本</x:v>
      </x:c>
      <x:c r="D89" s="17" t="str">
        <x:v>12配置项中首期11启用按来源保留，概率和为100%。</x:v>
      </x:c>
      <x:c r="E89" s="17" t="str">
        <x:v>不得将未启用项删成无历史记录。</x:v>
      </x:c>
      <x:c r="F89" s="17" t="str">
        <x:v>新增业务，规则待发布核验</x:v>
      </x:c>
      <x:c r="G89" s="17" t="str">
        <x:v>队友审阅：无活跃抽奖路由/API；12配置11启用；单抽保底类23.25%，保底后分布未定。</x:v>
      </x:c>
      <x:c r="H89" s="17" t="str">
        <x:v>队友固定提交审阅；业务代码差异仅文档已远端核验</x:v>
      </x:c>
      <x:c r="I89" s="17" t="str">
        <x:v>CORE-DEL-21</x:v>
      </x:c>
      <x:c r="J89" s="17" t="str">
        <x:v>UX-DEL-21</x:v>
      </x:c>
      <x:c r="K89" s="17" t="str">
        <x:v>REQ-020；REQ-024；REQ-037；REQ-042；REQ-043</x:v>
      </x:c>
      <x:c r="L89" s="17" t="str">
        <x:v>V5-012；V5-013；V5-014；V5-017；V5-037</x:v>
      </x:c>
      <x:c r="M89" s="17" t="str">
        <x:v>V5 §2.13；抽奖V2专项</x:v>
      </x:c>
      <x:c r="N89" s="17" t="str">
        <x:v>未按V5验收</x:v>
      </x:c>
    </x:row>
    <x:row r="90" ht="75" customHeight="1">
      <x:c r="A90" s="17" t="str">
        <x:v>DEL-21.02</x:v>
      </x:c>
      <x:c r="B90" s="17" t="str">
        <x:v>DEL-21</x:v>
      </x:c>
      <x:c r="C90" s="17" t="str">
        <x:v>300与2700</x:v>
      </x:c>
      <x:c r="D90" s="17" t="str">
        <x:v>资格/余额检查、原子扣分及一次发奖；未知结果查单。</x:v>
      </x:c>
      <x:c r="E90" s="17" t="str">
        <x:v>断网后不得第二次扣分重开奖。</x:v>
      </x:c>
      <x:c r="F90" s="17" t="str">
        <x:v>新增业务，规则待发布核验</x:v>
      </x:c>
      <x:c r="G90" s="17" t="str">
        <x:v>队友审阅：无活跃抽奖路由/API；12配置11启用；单抽保底类23.25%，保底后分布未定。</x:v>
      </x:c>
      <x:c r="H90" s="17" t="str">
        <x:v>队友固定提交审阅；业务代码差异仅文档已远端核验</x:v>
      </x:c>
      <x:c r="I90" s="17" t="str">
        <x:v>CORE-DEL-21</x:v>
      </x:c>
      <x:c r="J90" s="17" t="str">
        <x:v>UX-DEL-21</x:v>
      </x:c>
      <x:c r="K90" s="17" t="str">
        <x:v>REQ-020；REQ-024；REQ-037；REQ-042；REQ-043</x:v>
      </x:c>
      <x:c r="L90" s="17" t="str">
        <x:v>V5-012；V5-013；V5-014；V5-017；V5-037</x:v>
      </x:c>
      <x:c r="M90" s="17" t="str">
        <x:v>V5 §2.13；抽奖V2专项</x:v>
      </x:c>
      <x:c r="N90" s="17" t="str">
        <x:v>未按V5验收</x:v>
      </x:c>
    </x:row>
    <x:row r="91" ht="75" customHeight="1">
      <x:c r="A91" s="17" t="str">
        <x:v>DEL-21.03</x:v>
      </x:c>
      <x:c r="B91" s="17" t="str">
        <x:v>DEL-21</x:v>
      </x:c>
      <x:c r="C91" s="17" t="str">
        <x:v>十连保底</x:v>
      </x:c>
      <x:c r="D91" s="17" t="str">
        <x:v>算法与保底后的有效概率/成本一致发布，选定后锁版本。</x:v>
      </x:c>
      <x:c r="E91" s="17" t="str">
        <x:v>十次独立单抽不保证必中；未决算法不伪称生产可用。</x:v>
      </x:c>
      <x:c r="F91" s="17" t="str">
        <x:v>新增业务，规则待发布核验</x:v>
      </x:c>
      <x:c r="G91" s="17" t="str">
        <x:v>队友审阅：无活跃抽奖路由/API；12配置11启用；单抽保底类23.25%，保底后分布未定。</x:v>
      </x:c>
      <x:c r="H91" s="17" t="str">
        <x:v>队友固定提交审阅；业务代码差异仅文档已远端核验</x:v>
      </x:c>
      <x:c r="I91" s="17" t="str">
        <x:v>CORE-DEL-21</x:v>
      </x:c>
      <x:c r="J91" s="17" t="str">
        <x:v>UX-DEL-21</x:v>
      </x:c>
      <x:c r="K91" s="17" t="str">
        <x:v>REQ-020；REQ-024；REQ-037；REQ-042；REQ-043</x:v>
      </x:c>
      <x:c r="L91" s="17" t="str">
        <x:v>V5-012；V5-013；V5-014；V5-017；V5-037</x:v>
      </x:c>
      <x:c r="M91" s="17" t="str">
        <x:v>V5 §2.13；抽奖V2专项</x:v>
      </x:c>
      <x:c r="N91" s="17" t="str">
        <x:v>未按V5验收</x:v>
      </x:c>
    </x:row>
    <x:row r="92" ht="75" customHeight="1">
      <x:c r="A92" s="17" t="str">
        <x:v>DEL-21.04</x:v>
      </x:c>
      <x:c r="B92" s="17" t="str">
        <x:v>DEL-21</x:v>
      </x:c>
      <x:c r="C92" s="17" t="str">
        <x:v>真实奖品</x:v>
      </x:c>
      <x:c r="D92" s="17" t="str">
        <x:v>面试卡/制作金/免单/曝光/晶钻等奖励有可履行批次和补救。</x:v>
      </x:c>
      <x:c r="E92" s="17" t="str">
        <x:v>开出奖品不等于权益已经实际核销或履约。</x:v>
      </x:c>
      <x:c r="F92" s="17" t="str">
        <x:v>新增业务，规则待发布核验</x:v>
      </x:c>
      <x:c r="G92" s="17" t="str">
        <x:v>队友审阅：无活跃抽奖路由/API；12配置11启用；单抽保底类23.25%，保底后分布未定。</x:v>
      </x:c>
      <x:c r="H92" s="17" t="str">
        <x:v>队友固定提交审阅；业务代码差异仅文档已远端核验</x:v>
      </x:c>
      <x:c r="I92" s="17" t="str">
        <x:v>CORE-DEL-21</x:v>
      </x:c>
      <x:c r="J92" s="17" t="str">
        <x:v>UX-DEL-21</x:v>
      </x:c>
      <x:c r="K92" s="17" t="str">
        <x:v>REQ-020；REQ-024；REQ-037；REQ-042；REQ-043</x:v>
      </x:c>
      <x:c r="L92" s="17" t="str">
        <x:v>V5-012；V5-013；V5-014；V5-017；V5-037</x:v>
      </x:c>
      <x:c r="M92" s="17" t="str">
        <x:v>V5 §2.13；抽奖V2专项</x:v>
      </x:c>
      <x:c r="N92" s="17" t="str">
        <x:v>未按V5验收</x:v>
      </x:c>
    </x:row>
    <x:row r="93" ht="75" customHeight="1">
      <x:c r="A93" s="17" t="str">
        <x:v>DEL-22.01</x:v>
      </x:c>
      <x:c r="B93" s="17" t="str">
        <x:v>DEL-22</x:v>
      </x:c>
      <x:c r="C93" s="17" t="str">
        <x:v>固定兑换</x:v>
      </x:c>
      <x:c r="D93" s="17" t="str">
        <x:v>50/100/200/500元制作金分别对应6000/12000/24000/60000晶钻。</x:v>
      </x:c>
      <x:c r="E93" s="17" t="str">
        <x:v>兑换需原子扣分发券和幂等，不是抽奖结果页替代商城。</x:v>
      </x:c>
      <x:c r="F93" s="17" t="str">
        <x:v>新增业务</x:v>
      </x:c>
      <x:c r="G93" s="17" t="str">
        <x:v>队友审阅：无固定兑换/锁券/门槛核销；仅开奖展示不足以交付。</x:v>
      </x:c>
      <x:c r="H93" s="17" t="str">
        <x:v>队友固定提交审阅；业务代码差异仅文档已远端核验</x:v>
      </x:c>
      <x:c r="I93" s="17" t="str">
        <x:v>CORE-DEL-22</x:v>
      </x:c>
      <x:c r="J93" s="17" t="str">
        <x:v>UX-DEL-22</x:v>
      </x:c>
      <x:c r="K93" s="17" t="str">
        <x:v>REQ-024；REQ-038；REQ-042；REQ-043</x:v>
      </x:c>
      <x:c r="L93" s="17" t="str">
        <x:v>V5-015；V5-016</x:v>
      </x:c>
      <x:c r="M93" s="17" t="str">
        <x:v>V5 §2.13；抽奖V2 §3—5；队友审阅L91—94</x:v>
      </x:c>
      <x:c r="N93" s="17" t="str">
        <x:v>未按V5验收</x:v>
      </x:c>
    </x:row>
    <x:row r="94" ht="75" customHeight="1">
      <x:c r="A94" s="17" t="str">
        <x:v>DEL-22.02</x:v>
      </x:c>
      <x:c r="B94" s="17" t="str">
        <x:v>DEL-22</x:v>
      </x:c>
      <x:c r="C94" s="17" t="str">
        <x:v>收银适用</x:v>
      </x:c>
      <x:c r="D94" s="17" t="str">
        <x:v>1000/500/200/100/50券满3000/2000/1000/800/500，30天/本人/每单1券等按有效版本。</x:v>
      </x:c>
      <x:c r="E94" s="17" t="str">
        <x:v>样片适用范围冲突未解，不靠客户端判断暗中上线。</x:v>
      </x:c>
      <x:c r="F94" s="17" t="str">
        <x:v>新增业务</x:v>
      </x:c>
      <x:c r="G94" s="17" t="str">
        <x:v>队友审阅：无固定兑换/锁券/门槛核销；仅开奖展示不足以交付。</x:v>
      </x:c>
      <x:c r="H94" s="17" t="str">
        <x:v>队友固定提交审阅；业务代码差异仅文档已远端核验</x:v>
      </x:c>
      <x:c r="I94" s="17" t="str">
        <x:v>CORE-DEL-22</x:v>
      </x:c>
      <x:c r="J94" s="17" t="str">
        <x:v>UX-DEL-22</x:v>
      </x:c>
      <x:c r="K94" s="17" t="str">
        <x:v>REQ-024；REQ-038；REQ-042；REQ-043</x:v>
      </x:c>
      <x:c r="L94" s="17" t="str">
        <x:v>V5-015；V5-016</x:v>
      </x:c>
      <x:c r="M94" s="17" t="str">
        <x:v>V5 §2.13；抽奖V2 §3—5；队友审阅L91—94</x:v>
      </x:c>
      <x:c r="N94" s="17" t="str">
        <x:v>未按V5验收</x:v>
      </x:c>
    </x:row>
    <x:row r="95" ht="75" customHeight="1">
      <x:c r="A95" s="17" t="str">
        <x:v>DEL-22.03</x:v>
      </x:c>
      <x:c r="B95" s="17" t="str">
        <x:v>DEL-22</x:v>
      </x:c>
      <x:c r="C95" s="17" t="str">
        <x:v>锁券退款</x:v>
      </x:c>
      <x:c r="D95" s="17" t="str">
        <x:v>支付失败释放，成功核销；退单/侵权/卖方违约分别按正式策略。</x:v>
      </x:c>
      <x:c r="E95" s="17" t="str">
        <x:v>不得一刀切“退款不返”写死所有法律情形。</x:v>
      </x:c>
      <x:c r="F95" s="17" t="str">
        <x:v>新增业务</x:v>
      </x:c>
      <x:c r="G95" s="17" t="str">
        <x:v>队友审阅：无固定兑换/锁券/门槛核销；仅开奖展示不足以交付。</x:v>
      </x:c>
      <x:c r="H95" s="17" t="str">
        <x:v>队友固定提交审阅；业务代码差异仅文档已远端核验</x:v>
      </x:c>
      <x:c r="I95" s="17" t="str">
        <x:v>CORE-DEL-22</x:v>
      </x:c>
      <x:c r="J95" s="17" t="str">
        <x:v>UX-DEL-22</x:v>
      </x:c>
      <x:c r="K95" s="17" t="str">
        <x:v>REQ-024；REQ-038；REQ-042；REQ-043</x:v>
      </x:c>
      <x:c r="L95" s="17" t="str">
        <x:v>V5-015；V5-016</x:v>
      </x:c>
      <x:c r="M95" s="17" t="str">
        <x:v>V5 §2.13；抽奖V2 §3—5；队友审阅L91—94</x:v>
      </x:c>
      <x:c r="N95" s="17" t="str">
        <x:v>未按V5验收</x:v>
      </x:c>
    </x:row>
    <x:row r="96" ht="75" customHeight="1">
      <x:c r="A96" s="17" t="str">
        <x:v>DEL-22.04</x:v>
      </x:c>
      <x:c r="B96" s="17" t="str">
        <x:v>DEL-22</x:v>
      </x:c>
      <x:c r="C96" s="17" t="str">
        <x:v>奖品履行</x:v>
      </x:c>
      <x:c r="D96" s="17" t="str">
        <x:v>面试机会≠保证录用；曝光7天需位置、资产、城市、起止、补救。</x:v>
      </x:c>
      <x:c r="E96" s="17" t="str">
        <x:v>无面试排期或无可公开资产时不能标已兑现。</x:v>
      </x:c>
      <x:c r="F96" s="17" t="str">
        <x:v>新增业务</x:v>
      </x:c>
      <x:c r="G96" s="17" t="str">
        <x:v>队友审阅：无固定兑换/锁券/门槛核销；仅开奖展示不足以交付。</x:v>
      </x:c>
      <x:c r="H96" s="17" t="str">
        <x:v>队友固定提交审阅；业务代码差异仅文档已远端核验</x:v>
      </x:c>
      <x:c r="I96" s="17" t="str">
        <x:v>CORE-DEL-22</x:v>
      </x:c>
      <x:c r="J96" s="17" t="str">
        <x:v>UX-DEL-22</x:v>
      </x:c>
      <x:c r="K96" s="17" t="str">
        <x:v>REQ-024；REQ-038；REQ-042；REQ-043</x:v>
      </x:c>
      <x:c r="L96" s="17" t="str">
        <x:v>V5-015；V5-016</x:v>
      </x:c>
      <x:c r="M96" s="17" t="str">
        <x:v>V5 §2.13；抽奖V2 §3—5；队友审阅L91—94</x:v>
      </x:c>
      <x:c r="N96" s="17" t="str">
        <x:v>未按V5验收</x:v>
      </x:c>
    </x:row>
    <x:row r="97" ht="75" customHeight="1">
      <x:c r="A97" s="17" t="str">
        <x:v>DEL-23.01</x:v>
      </x:c>
      <x:c r="B97" s="17" t="str">
        <x:v>DEL-23</x:v>
      </x:c>
      <x:c r="C97" s="17" t="str">
        <x:v>隐私请求</x:v>
      </x:c>
      <x:c r="D97" s="17" t="str">
        <x:v>查询/复制/更正/删除/注销各有请求状态、时限和结果。</x:v>
      </x:c>
      <x:c r="E97" s="17" t="str">
        <x:v>未结订单不能无限期拒绝一切个人信息权利；按合理依据分类。</x:v>
      </x:c>
      <x:c r="F97" s="17" t="str">
        <x:v>新增闭环并复用撤回</x:v>
      </x:c>
      <x:c r="G97" s="17" t="str">
        <x:v>队友审阅：有WITHDRAWN/DELETE_REQUIRED，缺隐私请求/供应商完成/年龄/限额/全渠道阻断。</x:v>
      </x:c>
      <x:c r="H97" s="17" t="str">
        <x:v>队友固定提交审阅；业务代码差异仅文档已远端核验</x:v>
      </x:c>
      <x:c r="I97" s="17" t="str">
        <x:v>CORE-DEL-23</x:v>
      </x:c>
      <x:c r="J97" s="17" t="str">
        <x:v>UX-DEL-23</x:v>
      </x:c>
      <x:c r="K97" s="17" t="str">
        <x:v>REQ-010；REQ-012；REQ-037；REQ-041；REQ-043</x:v>
      </x:c>
      <x:c r="L97" s="17" t="str">
        <x:v>V5-020；V5-021；V5-022；V5-023；V5-024；V5-025；V5-026；V5-028；V5-030；V5-040</x:v>
      </x:c>
      <x:c r="M97" s="17" t="str">
        <x:v>V5 §2.14；合规包；队友审阅L98</x:v>
      </x:c>
      <x:c r="N97" s="17" t="str">
        <x:v>未按V5验收</x:v>
      </x:c>
    </x:row>
    <x:row r="98" ht="75" customHeight="1">
      <x:c r="A98" s="17" t="str">
        <x:v>DEL-23.02</x:v>
      </x:c>
      <x:c r="B98" s="17" t="str">
        <x:v>DEL-23</x:v>
      </x:c>
      <x:c r="C98" s="17" t="str">
        <x:v>撤回实际影响</x:v>
      </x:c>
      <x:c r="D98" s="17" t="str">
        <x:v>立即拦新增不被允许的使用，并记录下游处理结果。</x:v>
      </x:c>
      <x:c r="E98" s="17" t="str">
        <x:v>发起供应商删除不等于供应商已删除；旧合同不兜底无限使用。</x:v>
      </x:c>
      <x:c r="F98" s="17" t="str">
        <x:v>新增闭环并复用撤回</x:v>
      </x:c>
      <x:c r="G98" s="17" t="str">
        <x:v>队友审阅：有WITHDRAWN/DELETE_REQUIRED，缺隐私请求/供应商完成/年龄/限额/全渠道阻断。</x:v>
      </x:c>
      <x:c r="H98" s="17" t="str">
        <x:v>队友固定提交审阅；业务代码差异仅文档已远端核验</x:v>
      </x:c>
      <x:c r="I98" s="17" t="str">
        <x:v>CORE-DEL-23</x:v>
      </x:c>
      <x:c r="J98" s="17" t="str">
        <x:v>UX-DEL-23</x:v>
      </x:c>
      <x:c r="K98" s="17" t="str">
        <x:v>REQ-010；REQ-012；REQ-037；REQ-041；REQ-043</x:v>
      </x:c>
      <x:c r="L98" s="17" t="str">
        <x:v>V5-020；V5-021；V5-022；V5-023；V5-024；V5-025；V5-026；V5-028；V5-030；V5-040</x:v>
      </x:c>
      <x:c r="M98" s="17" t="str">
        <x:v>V5 §2.14；合规包；队友审阅L98</x:v>
      </x:c>
      <x:c r="N98" s="17" t="str">
        <x:v>未按V5验收</x:v>
      </x:c>
    </x:row>
    <x:row r="99" ht="75" customHeight="1">
      <x:c r="A99" s="17" t="str">
        <x:v>DEL-23.03</x:v>
      </x:c>
      <x:c r="B99" s="17" t="str">
        <x:v>DEL-23</x:v>
      </x:c>
      <x:c r="C99" s="17" t="str">
        <x:v>年龄与消费</x:v>
      </x:c>
      <x:c r="D99" s="17" t="str">
        <x:v>未成年人限制、监护授权、误充原路退，单次/日/月限额及冷静期。</x:v>
      </x:c>
      <x:c r="E99" s="17" t="str">
        <x:v>关闭青少年显示模式不绕过服务端年龄限制。</x:v>
      </x:c>
      <x:c r="F99" s="17" t="str">
        <x:v>新增闭环并复用撤回</x:v>
      </x:c>
      <x:c r="G99" s="17" t="str">
        <x:v>队友审阅：有WITHDRAWN/DELETE_REQUIRED，缺隐私请求/供应商完成/年龄/限额/全渠道阻断。</x:v>
      </x:c>
      <x:c r="H99" s="17" t="str">
        <x:v>队友固定提交审阅；业务代码差异仅文档已远端核验</x:v>
      </x:c>
      <x:c r="I99" s="17" t="str">
        <x:v>CORE-DEL-23</x:v>
      </x:c>
      <x:c r="J99" s="17" t="str">
        <x:v>UX-DEL-23</x:v>
      </x:c>
      <x:c r="K99" s="17" t="str">
        <x:v>REQ-010；REQ-012；REQ-037；REQ-041；REQ-043</x:v>
      </x:c>
      <x:c r="L99" s="17" t="str">
        <x:v>V5-020；V5-021；V5-022；V5-023；V5-024；V5-025；V5-026；V5-028；V5-030；V5-040</x:v>
      </x:c>
      <x:c r="M99" s="17" t="str">
        <x:v>V5 §2.14；合规包；队友审阅L98</x:v>
      </x:c>
      <x:c r="N99" s="17" t="str">
        <x:v>未按V5验收</x:v>
      </x:c>
    </x:row>
    <x:row r="100" ht="75" customHeight="1">
      <x:c r="A100" s="17" t="str">
        <x:v>DEL-23.04</x:v>
      </x:c>
      <x:c r="B100" s="17" t="str">
        <x:v>DEL-23</x:v>
      </x:c>
      <x:c r="C100" s="17" t="str">
        <x:v>偏好与申诉</x:v>
      </x:c>
      <x:c r="D100" s="17" t="str">
        <x:v>关闭个性化、推送退订、休息提醒、投诉响应/下架/恢复。</x:v>
      </x:c>
      <x:c r="E100" s="17" t="str">
        <x:v>运营只点已解决不算完成通知、限制解除及证据链。</x:v>
      </x:c>
      <x:c r="F100" s="17" t="str">
        <x:v>新增闭环并复用撤回</x:v>
      </x:c>
      <x:c r="G100" s="17" t="str">
        <x:v>队友审阅：有WITHDRAWN/DELETE_REQUIRED，缺隐私请求/供应商完成/年龄/限额/全渠道阻断。</x:v>
      </x:c>
      <x:c r="H100" s="17" t="str">
        <x:v>队友固定提交审阅；业务代码差异仅文档已远端核验</x:v>
      </x:c>
      <x:c r="I100" s="17" t="str">
        <x:v>CORE-DEL-23</x:v>
      </x:c>
      <x:c r="J100" s="17" t="str">
        <x:v>UX-DEL-23</x:v>
      </x:c>
      <x:c r="K100" s="17" t="str">
        <x:v>REQ-010；REQ-012；REQ-037；REQ-041；REQ-043</x:v>
      </x:c>
      <x:c r="L100" s="17" t="str">
        <x:v>V5-020；V5-021；V5-022；V5-023；V5-024；V5-025；V5-026；V5-028；V5-030；V5-040</x:v>
      </x:c>
      <x:c r="M100" s="17" t="str">
        <x:v>V5 §2.14；合规包；队友审阅L98</x:v>
      </x:c>
      <x:c r="N100" s="17" t="str">
        <x:v>未按V5验收</x:v>
      </x:c>
    </x:row>
    <x:row r="101" ht="75" customHeight="1">
      <x:c r="A101" s="17" t="str">
        <x:v>DEL-24.01</x:v>
      </x:c>
      <x:c r="B101" s="17" t="str">
        <x:v>DEL-24</x:v>
      </x:c>
      <x:c r="C101" s="17" t="str">
        <x:v>默认私有</x:v>
      </x:c>
      <x:c r="D101" s="17" t="str">
        <x:v>真人/声音/合同/全本/故事附件默认私有，按对象权限访问。</x:v>
      </x:c>
      <x:c r="E101" s="17" t="str">
        <x:v>下载失败不得降级public上传目录。</x:v>
      </x:c>
      <x:c r="F101" s="17" t="str">
        <x:v>新增/扩展已有文件基础</x:v>
      </x:c>
      <x:c r="G101" s="17" t="str">
        <x:v>队友审阅：受控下载已有但不等于显隐式标识；新文件审核provider/SDKPIA未有完整验收。</x:v>
      </x:c>
      <x:c r="H101" s="17" t="str">
        <x:v>队友固定提交审阅；业务代码差异仅文档已远端核验</x:v>
      </x:c>
      <x:c r="I101" s="17" t="str">
        <x:v>CORE-DEL-24</x:v>
      </x:c>
      <x:c r="J101" s="17" t="str">
        <x:v>UX-DEL-24</x:v>
      </x:c>
      <x:c r="K101" s="17" t="str">
        <x:v>REQ-011；REQ-013；REQ-015；REQ-032；REQ-041；REQ-050；REQ-055；REQ-056</x:v>
      </x:c>
      <x:c r="L101" s="17" t="str">
        <x:v>V5-027；V5-029；V5-031；V5-036</x:v>
      </x:c>
      <x:c r="M101" s="17" t="str">
        <x:v>V5 §2.3、2.14；合规包</x:v>
      </x:c>
      <x:c r="N101" s="17" t="str">
        <x:v>未按V5验收</x:v>
      </x:c>
    </x:row>
    <x:row r="102" ht="75" customHeight="1">
      <x:c r="A102" s="17" t="str">
        <x:v>DEL-24.02</x:v>
      </x:c>
      <x:c r="B102" s="17" t="str">
        <x:v>DEL-24</x:v>
      </x:c>
      <x:c r="C102" s="17" t="str">
        <x:v>多模态审核</x:v>
      </x:c>
      <x:c r="D102" s="17" t="str">
        <x:v>文本、图、音视频自动审核结果加人工复核。</x:v>
      </x:c>
      <x:c r="E102" s="17" t="str">
        <x:v>审核未接入不得全量approved。</x:v>
      </x:c>
      <x:c r="F102" s="17" t="str">
        <x:v>新增/扩展已有文件基础</x:v>
      </x:c>
      <x:c r="G102" s="17" t="str">
        <x:v>队友审阅：受控下载已有但不等于显隐式标识；新文件审核provider/SDKPIA未有完整验收。</x:v>
      </x:c>
      <x:c r="H102" s="17" t="str">
        <x:v>队友固定提交审阅；业务代码差异仅文档已远端核验</x:v>
      </x:c>
      <x:c r="I102" s="17" t="str">
        <x:v>CORE-DEL-24</x:v>
      </x:c>
      <x:c r="J102" s="17" t="str">
        <x:v>UX-DEL-24</x:v>
      </x:c>
      <x:c r="K102" s="17" t="str">
        <x:v>REQ-011；REQ-013；REQ-015；REQ-032；REQ-041；REQ-050；REQ-055；REQ-056</x:v>
      </x:c>
      <x:c r="L102" s="17" t="str">
        <x:v>V5-027；V5-029；V5-031；V5-036</x:v>
      </x:c>
      <x:c r="M102" s="17" t="str">
        <x:v>V5 §2.3、2.14；合规包</x:v>
      </x:c>
      <x:c r="N102" s="17" t="str">
        <x:v>未按V5验收</x:v>
      </x:c>
    </x:row>
    <x:row r="103" ht="75" customHeight="1">
      <x:c r="A103" s="17" t="str">
        <x:v>DEL-24.03</x:v>
      </x:c>
      <x:c r="B103" s="17" t="str">
        <x:v>DEL-24</x:v>
      </x:c>
      <x:c r="C103" s="17" t="str">
        <x:v>标识完整</x:v>
      </x:c>
      <x:c r="D103" s="17" t="str">
        <x:v>商业预览水印与AI显隐标识分开、跨转码导出保留。</x:v>
      </x:c>
      <x:c r="E103" s="17" t="str">
        <x:v>未嵌入标签不得返回成功，失败阻断对应公开交付。</x:v>
      </x:c>
      <x:c r="F103" s="17" t="str">
        <x:v>新增/扩展已有文件基础</x:v>
      </x:c>
      <x:c r="G103" s="17" t="str">
        <x:v>队友审阅：受控下载已有但不等于显隐式标识；新文件审核provider/SDKPIA未有完整验收。</x:v>
      </x:c>
      <x:c r="H103" s="17" t="str">
        <x:v>队友固定提交审阅；业务代码差异仅文档已远端核验</x:v>
      </x:c>
      <x:c r="I103" s="17" t="str">
        <x:v>CORE-DEL-24</x:v>
      </x:c>
      <x:c r="J103" s="17" t="str">
        <x:v>UX-DEL-24</x:v>
      </x:c>
      <x:c r="K103" s="17" t="str">
        <x:v>REQ-011；REQ-013；REQ-015；REQ-032；REQ-041；REQ-050；REQ-055；REQ-056</x:v>
      </x:c>
      <x:c r="L103" s="17" t="str">
        <x:v>V5-027；V5-029；V5-031；V5-036</x:v>
      </x:c>
      <x:c r="M103" s="17" t="str">
        <x:v>V5 §2.3、2.14；合规包</x:v>
      </x:c>
      <x:c r="N103" s="17" t="str">
        <x:v>未按V5验收</x:v>
      </x:c>
    </x:row>
    <x:row r="104" ht="75" customHeight="1">
      <x:c r="A104" s="17" t="str">
        <x:v>DEL-24.04</x:v>
      </x:c>
      <x:c r="B104" s="17" t="str">
        <x:v>DEL-24</x:v>
      </x:c>
      <x:c r="C104" s="17" t="str">
        <x:v>治理证据</x:v>
      </x:c>
      <x:c r="D104" s="17" t="str">
        <x:v>SDK名称版本用途政策、PIA和日志留存分项登记。</x:v>
      </x:c>
      <x:c r="E104" s="17" t="str">
        <x:v>等保/备案条目须适用性实证，不由标签宣布已合规。</x:v>
      </x:c>
      <x:c r="F104" s="17" t="str">
        <x:v>新增/扩展已有文件基础</x:v>
      </x:c>
      <x:c r="G104" s="17" t="str">
        <x:v>队友审阅：受控下载已有但不等于显隐式标识；新文件审核provider/SDKPIA未有完整验收。</x:v>
      </x:c>
      <x:c r="H104" s="17" t="str">
        <x:v>队友固定提交审阅；业务代码差异仅文档已远端核验</x:v>
      </x:c>
      <x:c r="I104" s="17" t="str">
        <x:v>CORE-DEL-24</x:v>
      </x:c>
      <x:c r="J104" s="17" t="str">
        <x:v>UX-DEL-24</x:v>
      </x:c>
      <x:c r="K104" s="17" t="str">
        <x:v>REQ-011；REQ-013；REQ-015；REQ-032；REQ-041；REQ-050；REQ-055；REQ-056</x:v>
      </x:c>
      <x:c r="L104" s="17" t="str">
        <x:v>V5-027；V5-029；V5-031；V5-036</x:v>
      </x:c>
      <x:c r="M104" s="17" t="str">
        <x:v>V5 §2.3、2.14；合规包</x:v>
      </x:c>
      <x:c r="N104" s="17" t="str">
        <x:v>未按V5验收</x:v>
      </x:c>
    </x:row>
    <x:row r="105" ht="75" customHeight="1">
      <x:c r="A105" s="17" t="str">
        <x:v>DEL-25.01</x:v>
      </x:c>
      <x:c r="B105" s="17" t="str">
        <x:v>DEL-25</x:v>
      </x:c>
      <x:c r="C105" s="17" t="str">
        <x:v>管理不所有</x:v>
      </x:c>
      <x:c r="D105" s="17" t="str">
        <x:v>互认签约及具体授权；一个账号的多个员工不共用口令。</x:v>
      </x:c>
      <x:c r="E105" s="17" t="str">
        <x:v>不因管理关系默认取得所有肖像和数据处理权。</x:v>
      </x:c>
      <x:c r="F105" s="17" t="str">
        <x:v>扩展现有Web机构基础</x:v>
      </x:c>
      <x:c r="G105" s="17" t="str">
        <x:v>队友审阅：机构关系/直接合作/佣金有基础；代管、批量上架、分单和完整看板缺。</x:v>
      </x:c>
      <x:c r="H105" s="17" t="str">
        <x:v>队友固定提交审阅；业务代码差异仅文档已远端核验</x:v>
      </x:c>
      <x:c r="I105" s="17" t="str">
        <x:v>CORE-DEL-25</x:v>
      </x:c>
      <x:c r="J105" s="17" t="str">
        <x:v>UX-DEL-25</x:v>
      </x:c>
      <x:c r="K105" s="17" t="str">
        <x:v>REQ-016；REQ-023；REQ-047；REQ-059</x:v>
      </x:c>
      <x:c r="L105" s="17" t="str">
        <x:v>V5-032</x:v>
      </x:c>
      <x:c r="M105" s="17" t="str">
        <x:v>V5 §2.9；队友审阅L37、L145</x:v>
      </x:c>
      <x:c r="N105" s="17" t="str">
        <x:v>未按V5验收</x:v>
      </x:c>
    </x:row>
    <x:row r="106" ht="75" customHeight="1">
      <x:c r="A106" s="17" t="str">
        <x:v>DEL-25.02</x:v>
      </x:c>
      <x:c r="B106" s="17" t="str">
        <x:v>DEL-25</x:v>
      </x:c>
      <x:c r="C106" s="17" t="str">
        <x:v>批量经营</x:v>
      </x:c>
      <x:c r="D106" s="17" t="str">
        <x:v>多艺人资料上架、审核提交、价格和订单分派。</x:v>
      </x:c>
      <x:c r="E106" s="17" t="str">
        <x:v>仅授权范围内批量修改，越权部分返回明细不静默成功。</x:v>
      </x:c>
      <x:c r="F106" s="17" t="str">
        <x:v>扩展现有Web机构基础</x:v>
      </x:c>
      <x:c r="G106" s="17" t="str">
        <x:v>队友审阅：机构关系/直接合作/佣金有基础；代管、批量上架、分单和完整看板缺。</x:v>
      </x:c>
      <x:c r="H106" s="17" t="str">
        <x:v>队友固定提交审阅；业务代码差异仅文档已远端核验</x:v>
      </x:c>
      <x:c r="I106" s="17" t="str">
        <x:v>CORE-DEL-25</x:v>
      </x:c>
      <x:c r="J106" s="17" t="str">
        <x:v>UX-DEL-25</x:v>
      </x:c>
      <x:c r="K106" s="17" t="str">
        <x:v>REQ-016；REQ-023；REQ-047；REQ-059</x:v>
      </x:c>
      <x:c r="L106" s="17" t="str">
        <x:v>V5-032</x:v>
      </x:c>
      <x:c r="M106" s="17" t="str">
        <x:v>V5 §2.9；队友审阅L37、L145</x:v>
      </x:c>
      <x:c r="N106" s="17" t="str">
        <x:v>未按V5验收</x:v>
      </x:c>
    </x:row>
    <x:row r="107" ht="75" customHeight="1">
      <x:c r="A107" s="17" t="str">
        <x:v>DEL-25.03</x:v>
      </x:c>
      <x:c r="B107" s="17" t="str">
        <x:v>DEL-25</x:v>
      </x:c>
      <x:c r="C107" s="17" t="str">
        <x:v>解除与历史</x:v>
      </x:c>
      <x:c r="D107" s="17" t="str">
        <x:v>新业务终止分成，旧未清分按原约。</x:v>
      </x:c>
      <x:c r="E107" s="17" t="str">
        <x:v>解约不转移数字人资产、不删旧合同。</x:v>
      </x:c>
      <x:c r="F107" s="17" t="str">
        <x:v>扩展现有Web机构基础</x:v>
      </x:c>
      <x:c r="G107" s="17" t="str">
        <x:v>队友审阅：机构关系/直接合作/佣金有基础；代管、批量上架、分单和完整看板缺。</x:v>
      </x:c>
      <x:c r="H107" s="17" t="str">
        <x:v>队友固定提交审阅；业务代码差异仅文档已远端核验</x:v>
      </x:c>
      <x:c r="I107" s="17" t="str">
        <x:v>CORE-DEL-25</x:v>
      </x:c>
      <x:c r="J107" s="17" t="str">
        <x:v>UX-DEL-25</x:v>
      </x:c>
      <x:c r="K107" s="17" t="str">
        <x:v>REQ-016；REQ-023；REQ-047；REQ-059</x:v>
      </x:c>
      <x:c r="L107" s="17" t="str">
        <x:v>V5-032</x:v>
      </x:c>
      <x:c r="M107" s="17" t="str">
        <x:v>V5 §2.9；队友审阅L37、L145</x:v>
      </x:c>
      <x:c r="N107" s="17" t="str">
        <x:v>未按V5验收</x:v>
      </x:c>
    </x:row>
    <x:row r="108" ht="75" customHeight="1">
      <x:c r="A108" s="17" t="str">
        <x:v>DEL-25.04</x:v>
      </x:c>
      <x:c r="B108" s="17" t="str">
        <x:v>DEL-25</x:v>
      </x:c>
      <x:c r="C108" s="17" t="str">
        <x:v>经营看板</x:v>
      </x:c>
      <x:c r="D108" s="17" t="str">
        <x:v>按艺人、订单、期间展示应收/实收和接单结果。</x:v>
      </x:c>
      <x:c r="E108" s="17" t="str">
        <x:v>多艺人同一订单不得把订单收入重复计入总额。</x:v>
      </x:c>
      <x:c r="F108" s="17" t="str">
        <x:v>扩展现有Web机构基础</x:v>
      </x:c>
      <x:c r="G108" s="17" t="str">
        <x:v>队友审阅：机构关系/直接合作/佣金有基础；代管、批量上架、分单和完整看板缺。</x:v>
      </x:c>
      <x:c r="H108" s="17" t="str">
        <x:v>队友固定提交审阅；业务代码差异仅文档已远端核验</x:v>
      </x:c>
      <x:c r="I108" s="17" t="str">
        <x:v>CORE-DEL-25</x:v>
      </x:c>
      <x:c r="J108" s="17" t="str">
        <x:v>UX-DEL-25</x:v>
      </x:c>
      <x:c r="K108" s="17" t="str">
        <x:v>REQ-016；REQ-023；REQ-047；REQ-059</x:v>
      </x:c>
      <x:c r="L108" s="17" t="str">
        <x:v>V5-032</x:v>
      </x:c>
      <x:c r="M108" s="17" t="str">
        <x:v>V5 §2.9；队友审阅L37、L145</x:v>
      </x:c>
      <x:c r="N108" s="17" t="str">
        <x:v>未按V5验收</x:v>
      </x:c>
    </x:row>
    <x:row r="109" ht="75" customHeight="1">
      <x:c r="A109" s="17" t="str">
        <x:v>DEL-26.01</x:v>
      </x:c>
      <x:c r="B109" s="17" t="str">
        <x:v>DEL-26</x:v>
      </x:c>
      <x:c r="C109" s="17" t="str">
        <x:v>按职责待办</x:v>
      </x:c>
      <x:c r="D109" s="17" t="str">
        <x:v>审核/制作/客服/财务/管理员各看职责工作。</x:v>
      </x:c>
      <x:c r="E109" s="17" t="str">
        <x:v>代录不能代权利人签署或替客户验收。</x:v>
      </x:c>
      <x:c r="F109" s="17" t="str">
        <x:v>扩展现有运营，不另造全套后台</x:v>
      </x:c>
      <x:c r="G109" s="17" t="str">
        <x:v>队友审阅：既有审核/规格/项目/财务/报表/审计；新增内容/故事/抽奖/隐私工作。</x:v>
      </x:c>
      <x:c r="H109" s="17" t="str">
        <x:v>队友固定提交审阅；业务代码差异仅文档已远端核验</x:v>
      </x:c>
      <x:c r="I109" s="17" t="str">
        <x:v>CORE-DEL-26</x:v>
      </x:c>
      <x:c r="J109" s="17" t="str">
        <x:v>UX-DEL-26</x:v>
      </x:c>
      <x:c r="K109" s="17" t="str">
        <x:v>REQ-003；REQ-040；REQ-044；REQ-049；REQ-050；REQ-059</x:v>
      </x:c>
      <x:c r="L109" s="17" t="str">
        <x:v>V5-010；V5-011；V5-017；V5-031；V5-036</x:v>
      </x:c>
      <x:c r="M109" s="17" t="str">
        <x:v>V5 §2.12、2.13、2.14、5.1</x:v>
      </x:c>
      <x:c r="N109" s="17" t="str">
        <x:v>未按V5验收</x:v>
      </x:c>
    </x:row>
    <x:row r="110" ht="75" customHeight="1">
      <x:c r="A110" s="17" t="str">
        <x:v>DEL-26.02</x:v>
      </x:c>
      <x:c r="B110" s="17" t="str">
        <x:v>DEL-26</x:v>
      </x:c>
      <x:c r="C110" s="17" t="str">
        <x:v>配置发布</x:v>
      </x:c>
      <x:c r="D110" s="17" t="str">
        <x:v>品类、采集卡、套餐、奖池、佣金等有草稿/审核/生效版本。</x:v>
      </x:c>
      <x:c r="E110" s="17" t="str">
        <x:v>一般MCN不可配置全平台故事字段或中奖概率。</x:v>
      </x:c>
      <x:c r="F110" s="17" t="str">
        <x:v>扩展现有运营，不另造全套后台</x:v>
      </x:c>
      <x:c r="G110" s="17" t="str">
        <x:v>队友审阅：既有审核/规格/项目/财务/报表/审计；新增内容/故事/抽奖/隐私工作。</x:v>
      </x:c>
      <x:c r="H110" s="17" t="str">
        <x:v>队友固定提交审阅；业务代码差异仅文档已远端核验</x:v>
      </x:c>
      <x:c r="I110" s="17" t="str">
        <x:v>CORE-DEL-26</x:v>
      </x:c>
      <x:c r="J110" s="17" t="str">
        <x:v>UX-DEL-26</x:v>
      </x:c>
      <x:c r="K110" s="17" t="str">
        <x:v>REQ-003；REQ-040；REQ-044；REQ-049；REQ-050；REQ-059</x:v>
      </x:c>
      <x:c r="L110" s="17" t="str">
        <x:v>V5-010；V5-011；V5-017；V5-031；V5-036</x:v>
      </x:c>
      <x:c r="M110" s="17" t="str">
        <x:v>V5 §2.12、2.13、2.14、5.1</x:v>
      </x:c>
      <x:c r="N110" s="17" t="str">
        <x:v>未按V5验收</x:v>
      </x:c>
    </x:row>
    <x:row r="111" ht="75" customHeight="1">
      <x:c r="A111" s="17" t="str">
        <x:v>DEL-26.03</x:v>
      </x:c>
      <x:c r="B111" s="17" t="str">
        <x:v>DEL-26</x:v>
      </x:c>
      <x:c r="C111" s="17" t="str">
        <x:v>真实进度</x:v>
      </x:c>
      <x:c r="D111" s="17" t="str">
        <x:v>显示未接Provider、未审规则、失败任务与重试。</x:v>
      </x:c>
      <x:c r="E111" s="17" t="str">
        <x:v>关闭前台入口不等于后端已经解决风险。</x:v>
      </x:c>
      <x:c r="F111" s="17" t="str">
        <x:v>扩展现有运营，不另造全套后台</x:v>
      </x:c>
      <x:c r="G111" s="17" t="str">
        <x:v>队友审阅：既有审核/规格/项目/财务/报表/审计；新增内容/故事/抽奖/隐私工作。</x:v>
      </x:c>
      <x:c r="H111" s="17" t="str">
        <x:v>队友固定提交审阅；业务代码差异仅文档已远端核验</x:v>
      </x:c>
      <x:c r="I111" s="17" t="str">
        <x:v>CORE-DEL-26</x:v>
      </x:c>
      <x:c r="J111" s="17" t="str">
        <x:v>UX-DEL-26</x:v>
      </x:c>
      <x:c r="K111" s="17" t="str">
        <x:v>REQ-003；REQ-040；REQ-044；REQ-049；REQ-050；REQ-059</x:v>
      </x:c>
      <x:c r="L111" s="17" t="str">
        <x:v>V5-010；V5-011；V5-017；V5-031；V5-036</x:v>
      </x:c>
      <x:c r="M111" s="17" t="str">
        <x:v>V5 §2.12、2.13、2.14、5.1</x:v>
      </x:c>
      <x:c r="N111" s="17" t="str">
        <x:v>未按V5验收</x:v>
      </x:c>
    </x:row>
    <x:row r="112" ht="75" customHeight="1">
      <x:c r="A112" s="17" t="str">
        <x:v>DEL-26.04</x:v>
      </x:c>
      <x:c r="B112" s="17" t="str">
        <x:v>DEL-26</x:v>
      </x:c>
      <x:c r="C112" s="17" t="str">
        <x:v>数据与审计</x:v>
      </x:c>
      <x:c r="D112" s="17" t="str">
        <x:v>报表基于交易事实，可导出审计和错误清单。</x:v>
      </x:c>
      <x:c r="E112" s="17" t="str">
        <x:v>归档静态HTML或模拟截图不能作为真实统计。</x:v>
      </x:c>
      <x:c r="F112" s="17" t="str">
        <x:v>扩展现有运营，不另造全套后台</x:v>
      </x:c>
      <x:c r="G112" s="17" t="str">
        <x:v>队友审阅：既有审核/规格/项目/财务/报表/审计；新增内容/故事/抽奖/隐私工作。</x:v>
      </x:c>
      <x:c r="H112" s="17" t="str">
        <x:v>队友固定提交审阅；业务代码差异仅文档已远端核验</x:v>
      </x:c>
      <x:c r="I112" s="17" t="str">
        <x:v>CORE-DEL-26</x:v>
      </x:c>
      <x:c r="J112" s="17" t="str">
        <x:v>UX-DEL-26</x:v>
      </x:c>
      <x:c r="K112" s="17" t="str">
        <x:v>REQ-003；REQ-040；REQ-044；REQ-049；REQ-050；REQ-059</x:v>
      </x:c>
      <x:c r="L112" s="17" t="str">
        <x:v>V5-010；V5-011；V5-017；V5-031；V5-036</x:v>
      </x:c>
      <x:c r="M112" s="17" t="str">
        <x:v>V5 §2.12、2.13、2.14、5.1</x:v>
      </x:c>
      <x:c r="N112" s="17" t="str">
        <x:v>未按V5验收</x:v>
      </x:c>
    </x:row>
    <x:row r="113" ht="75" customHeight="1">
      <x:c r="A113" s="17" t="str">
        <x:v>DEL-27.01</x:v>
      </x:c>
      <x:c r="B113" s="17" t="str">
        <x:v>DEL-27</x:v>
      </x:c>
      <x:c r="C113" s="17" t="str">
        <x:v>非标参与</x:v>
      </x:c>
      <x:c r="D113" s="17" t="str">
        <x:v>线下谈方案，线上记录报价合同、约定付款及节点。</x:v>
      </x:c>
      <x:c r="E113" s="17" t="str">
        <x:v>试镜完成不等于买到角色使用权。</x:v>
      </x:c>
      <x:c r="F113" s="17" t="str">
        <x:v>复用项目及财务后扩展</x:v>
      </x:c>
      <x:c r="G113" s="17" t="str">
        <x:v>队友审阅：projects/edition/release与finance有真实接口和证据门禁；非标与新合同模板需适配。</x:v>
      </x:c>
      <x:c r="H113" s="17" t="str">
        <x:v>队友固定提交审阅；业务代码差异仅文档已远端核验</x:v>
      </x:c>
      <x:c r="I113" s="17" t="str">
        <x:v>CORE-DEL-27</x:v>
      </x:c>
      <x:c r="J113" s="17" t="str">
        <x:v>UX-DEL-27</x:v>
      </x:c>
      <x:c r="K113" s="17" t="str">
        <x:v>REQ-025；REQ-026；REQ-028；REQ-029；REQ-030；REQ-036；REQ-042；REQ-052；REQ-054</x:v>
      </x:c>
      <x:c r="L113" s="17" t="str">
        <x:v>V5-006；V5-032</x:v>
      </x:c>
      <x:c r="M113" s="17" t="str">
        <x:v>V5 §2.4、2.7、3.3；队友审阅L31、L67</x:v>
      </x:c>
      <x:c r="N113" s="17" t="str">
        <x:v>未按V5验收</x:v>
      </x:c>
    </x:row>
    <x:row r="114" ht="75" customHeight="1">
      <x:c r="A114" s="17" t="str">
        <x:v>DEL-27.02</x:v>
      </x:c>
      <x:c r="B114" s="17" t="str">
        <x:v>DEL-27</x:v>
      </x:c>
      <x:c r="C114" s="17" t="str">
        <x:v>角色绑定</x:v>
      </x:c>
      <x:c r="D114" s="17" t="str">
        <x:v>人物槽位关联具体数字人、造型/声音、授权和费用版本。</x:v>
      </x:c>
      <x:c r="E114" s="17" t="str">
        <x:v>换角必须重核影响，不改原始剧本永久演员。</x:v>
      </x:c>
      <x:c r="F114" s="17" t="str">
        <x:v>复用项目及财务后扩展</x:v>
      </x:c>
      <x:c r="G114" s="17" t="str">
        <x:v>队友审阅：projects/edition/release与finance有真实接口和证据门禁；非标与新合同模板需适配。</x:v>
      </x:c>
      <x:c r="H114" s="17" t="str">
        <x:v>队友固定提交审阅；业务代码差异仅文档已远端核验</x:v>
      </x:c>
      <x:c r="I114" s="17" t="str">
        <x:v>CORE-DEL-27</x:v>
      </x:c>
      <x:c r="J114" s="17" t="str">
        <x:v>UX-DEL-27</x:v>
      </x:c>
      <x:c r="K114" s="17" t="str">
        <x:v>REQ-025；REQ-026；REQ-028；REQ-029；REQ-030；REQ-036；REQ-042；REQ-052；REQ-054</x:v>
      </x:c>
      <x:c r="L114" s="17" t="str">
        <x:v>V5-006；V5-032</x:v>
      </x:c>
      <x:c r="M114" s="17" t="str">
        <x:v>V5 §2.4、2.7、3.3；队友审阅L31、L67</x:v>
      </x:c>
      <x:c r="N114" s="17" t="str">
        <x:v>未按V5验收</x:v>
      </x:c>
    </x:row>
    <x:row r="115" ht="75" customHeight="1">
      <x:c r="A115" s="17" t="str">
        <x:v>DEL-27.03</x:v>
      </x:c>
      <x:c r="B115" s="17" t="str">
        <x:v>DEL-27</x:v>
      </x:c>
      <x:c r="C115" s="17" t="str">
        <x:v>发行真实性</x:v>
      </x:c>
      <x:c r="D115" s="17" t="str">
        <x:v>内部审核与外部已发行分别有证据。</x:v>
      </x:c>
      <x:c r="E115" s="17" t="str">
        <x:v>没有渠道结果不得显示已上架。</x:v>
      </x:c>
      <x:c r="F115" s="17" t="str">
        <x:v>复用项目及财务后扩展</x:v>
      </x:c>
      <x:c r="G115" s="17" t="str">
        <x:v>队友审阅：projects/edition/release与finance有真实接口和证据门禁；非标与新合同模板需适配。</x:v>
      </x:c>
      <x:c r="H115" s="17" t="str">
        <x:v>队友固定提交审阅；业务代码差异仅文档已远端核验</x:v>
      </x:c>
      <x:c r="I115" s="17" t="str">
        <x:v>CORE-DEL-27</x:v>
      </x:c>
      <x:c r="J115" s="17" t="str">
        <x:v>UX-DEL-27</x:v>
      </x:c>
      <x:c r="K115" s="17" t="str">
        <x:v>REQ-025；REQ-026；REQ-028；REQ-029；REQ-030；REQ-036；REQ-042；REQ-052；REQ-054</x:v>
      </x:c>
      <x:c r="L115" s="17" t="str">
        <x:v>V5-006；V5-032</x:v>
      </x:c>
      <x:c r="M115" s="17" t="str">
        <x:v>V5 §2.4、2.7、3.3；队友审阅L31、L67</x:v>
      </x:c>
      <x:c r="N115" s="17" t="str">
        <x:v>未按V5验收</x:v>
      </x:c>
    </x:row>
    <x:row r="116" ht="75" customHeight="1">
      <x:c r="A116" s="17" t="str">
        <x:v>DEL-27.04</x:v>
      </x:c>
      <x:c r="B116" s="17" t="str">
        <x:v>DEL-27</x:v>
      </x:c>
      <x:c r="C116" s="17" t="str">
        <x:v>未来收入</x:v>
      </x:c>
      <x:c r="D116" s="17" t="str">
        <x:v>基于实际渠道账单、到账及合同计算发行收入。</x:v>
      </x:c>
      <x:c r="E116" s="17" t="str">
        <x:v>不把未来收益比例直接乘当笔下单金额。</x:v>
      </x:c>
      <x:c r="F116" s="17" t="str">
        <x:v>复用项目及财务后扩展</x:v>
      </x:c>
      <x:c r="G116" s="17" t="str">
        <x:v>队友审阅：projects/edition/release与finance有真实接口和证据门禁；非标与新合同模板需适配。</x:v>
      </x:c>
      <x:c r="H116" s="17" t="str">
        <x:v>队友固定提交审阅；业务代码差异仅文档已远端核验</x:v>
      </x:c>
      <x:c r="I116" s="17" t="str">
        <x:v>CORE-DEL-27</x:v>
      </x:c>
      <x:c r="J116" s="17" t="str">
        <x:v>UX-DEL-27</x:v>
      </x:c>
      <x:c r="K116" s="17" t="str">
        <x:v>REQ-025；REQ-026；REQ-028；REQ-029；REQ-030；REQ-036；REQ-042；REQ-052；REQ-054</x:v>
      </x:c>
      <x:c r="L116" s="17" t="str">
        <x:v>V5-006；V5-032</x:v>
      </x:c>
      <x:c r="M116" s="17" t="str">
        <x:v>V5 §2.4、2.7、3.3；队友审阅L31、L67</x:v>
      </x:c>
      <x:c r="N116" s="17" t="str">
        <x:v>未按V5验收</x:v>
      </x:c>
    </x:row>
    <x:row r="117" ht="75" customHeight="1">
      <x:c r="A117" s="17" t="str">
        <x:v>DEL-28.01</x:v>
      </x:c>
      <x:c r="B117" s="17" t="str">
        <x:v>DEL-28</x:v>
      </x:c>
      <x:c r="C117" s="17" t="str">
        <x:v>导航和深链</x:v>
      </x:c>
      <x:c r="D117" s="17" t="str">
        <x:v>新五Tab真实接线，表单详情有返回；旧地址有明确映射或禁用说明。</x:v>
      </x:c>
      <x:c r="E117" s="17" t="str">
        <x:v>不能仅改标签并继续打开旧项目/作者页。</x:v>
      </x:c>
      <x:c r="F117" s="17" t="str">
        <x:v>真实页面重构＋设计修复</x:v>
      </x:c>
      <x:c r="G117" s="17" t="str">
        <x:v>远端抽查app_shell.dart：仍首页/入戏/培育/成角/我的；原AGENTS保护旧标签与旧图册；原型3项故事卡缺陷。</x:v>
      </x:c>
      <x:c r="H117" s="17" t="str">
        <x:v>本轮远端抽查＋队友固定提交审阅</x:v>
      </x:c>
      <x:c r="I117" s="17" t="str">
        <x:v>CORE-DEL-28</x:v>
      </x:c>
      <x:c r="J117" s="17" t="str">
        <x:v>UX-DEL-28</x:v>
      </x:c>
      <x:c r="K117" s="17" t="str">
        <x:v>REQ-009；REQ-033；REQ-044；REQ-045</x:v>
      </x:c>
      <x:c r="L117" s="17" t="str">
        <x:v>V5-034；V5-035</x:v>
      </x:c>
      <x:c r="M117" s="17" t="str">
        <x:v>V5 §1.3、5.4；队友审阅L54、L151—168</x:v>
      </x:c>
      <x:c r="N117" s="17" t="str">
        <x:v>未按V5验收</x:v>
      </x:c>
    </x:row>
    <x:row r="118" ht="75" customHeight="1">
      <x:c r="A118" s="17" t="str">
        <x:v>DEL-28.02</x:v>
      </x:c>
      <x:c r="B118" s="17" t="str">
        <x:v>DEL-28</x:v>
      </x:c>
      <x:c r="C118" s="17" t="str">
        <x:v>同步规范测试</x:v>
      </x:c>
      <x:c r="D118" s="17" t="str">
        <x:v>AGENTS导航段、旧图册映射、导航测试和实现说明同批迁移。</x:v>
      </x:c>
      <x:c r="E118" s="17" t="str">
        <x:v>禁止删除测试来保住旧假成功。</x:v>
      </x:c>
      <x:c r="F118" s="17" t="str">
        <x:v>真实页面重构＋设计修复</x:v>
      </x:c>
      <x:c r="G118" s="17" t="str">
        <x:v>远端抽查app_shell.dart：仍首页/入戏/培育/成角/我的；原AGENTS保护旧标签与旧图册；原型3项故事卡缺陷。</x:v>
      </x:c>
      <x:c r="H118" s="17" t="str">
        <x:v>本轮远端抽查＋队友固定提交审阅</x:v>
      </x:c>
      <x:c r="I118" s="17" t="str">
        <x:v>CORE-DEL-28</x:v>
      </x:c>
      <x:c r="J118" s="17" t="str">
        <x:v>UX-DEL-28</x:v>
      </x:c>
      <x:c r="K118" s="17" t="str">
        <x:v>REQ-009；REQ-033；REQ-044；REQ-045</x:v>
      </x:c>
      <x:c r="L118" s="17" t="str">
        <x:v>V5-034；V5-035</x:v>
      </x:c>
      <x:c r="M118" s="17" t="str">
        <x:v>V5 §1.3、5.4；队友审阅L54、L151—168</x:v>
      </x:c>
      <x:c r="N118" s="17" t="str">
        <x:v>未按V5验收</x:v>
      </x:c>
    </x:row>
    <x:row r="119" ht="75" customHeight="1">
      <x:c r="A119" s="17" t="str">
        <x:v>DEL-28.03</x:v>
      </x:c>
      <x:c r="B119" s="17" t="str">
        <x:v>DEL-28</x:v>
      </x:c>
      <x:c r="C119" s="17" t="str">
        <x:v>原型修复</x:v>
      </x:c>
      <x:c r="D119" s="17" t="str">
        <x:v>按品类字段变化、空白必填拦截、未解析字符串消除、草稿恢复。</x:v>
      </x:c>
      <x:c r="E119" s="17" t="str">
        <x:v>无浏览器错误不等于业务交互通过。</x:v>
      </x:c>
      <x:c r="F119" s="17" t="str">
        <x:v>真实页面重构＋设计修复</x:v>
      </x:c>
      <x:c r="G119" s="17" t="str">
        <x:v>远端抽查app_shell.dart：仍首页/入戏/培育/成角/我的；原AGENTS保护旧标签与旧图册；原型3项故事卡缺陷。</x:v>
      </x:c>
      <x:c r="H119" s="17" t="str">
        <x:v>本轮远端抽查＋队友固定提交审阅</x:v>
      </x:c>
      <x:c r="I119" s="17" t="str">
        <x:v>CORE-DEL-28</x:v>
      </x:c>
      <x:c r="J119" s="17" t="str">
        <x:v>UX-DEL-28</x:v>
      </x:c>
      <x:c r="K119" s="17" t="str">
        <x:v>REQ-009；REQ-033；REQ-044；REQ-045</x:v>
      </x:c>
      <x:c r="L119" s="17" t="str">
        <x:v>V5-034；V5-035</x:v>
      </x:c>
      <x:c r="M119" s="17" t="str">
        <x:v>V5 §1.3、5.4；队友审阅L54、L151—168</x:v>
      </x:c>
      <x:c r="N119" s="17" t="str">
        <x:v>未按V5验收</x:v>
      </x:c>
    </x:row>
    <x:row r="120" ht="75" customHeight="1">
      <x:c r="A120" s="17" t="str">
        <x:v>DEL-28.04</x:v>
      </x:c>
      <x:c r="B120" s="17" t="str">
        <x:v>DEL-28</x:v>
      </x:c>
      <x:c r="C120" s="17" t="str">
        <x:v>状态与视觉</x:v>
      </x:c>
      <x:c r="D120" s="17" t="str">
        <x:v>正常/空/失败/失权/待核验/版本冲突和小屏/大字实测。</x:v>
      </x:c>
      <x:c r="E120" s="17" t="str">
        <x:v>不能把占位页计成功能完成；截图素材不默认商用。</x:v>
      </x:c>
      <x:c r="F120" s="17" t="str">
        <x:v>真实页面重构＋设计修复</x:v>
      </x:c>
      <x:c r="G120" s="17" t="str">
        <x:v>远端抽查app_shell.dart：仍首页/入戏/培育/成角/我的；原AGENTS保护旧标签与旧图册；原型3项故事卡缺陷。</x:v>
      </x:c>
      <x:c r="H120" s="17" t="str">
        <x:v>本轮远端抽查＋队友固定提交审阅</x:v>
      </x:c>
      <x:c r="I120" s="17" t="str">
        <x:v>CORE-DEL-28</x:v>
      </x:c>
      <x:c r="J120" s="17" t="str">
        <x:v>UX-DEL-28</x:v>
      </x:c>
      <x:c r="K120" s="17" t="str">
        <x:v>REQ-009；REQ-033；REQ-044；REQ-045</x:v>
      </x:c>
      <x:c r="L120" s="17" t="str">
        <x:v>V5-034；V5-035</x:v>
      </x:c>
      <x:c r="M120" s="17" t="str">
        <x:v>V5 §1.3、5.4；队友审阅L54、L151—168</x:v>
      </x:c>
      <x:c r="N120" s="17" t="str">
        <x:v>未按V5验收</x:v>
      </x:c>
    </x:row>
    <x:row r="121" ht="75" customHeight="1">
      <x:c r="A121" s="17" t="str">
        <x:v>DEL-29.01</x:v>
      </x:c>
      <x:c r="B121" s="17" t="str">
        <x:v>DEL-29</x:v>
      </x:c>
      <x:c r="C121" s="17" t="str">
        <x:v>场景不按页数</x:v>
      </x:c>
      <x:c r="D121" s="17" t="str">
        <x:v>现货/定制/试镜/投稿/共创/积分兑换/退款等端到端。</x:v>
      </x:c>
      <x:c r="E121" s="17" t="str">
        <x:v>旧测试绿色不等于V5通过；跳过需明确原因。</x:v>
      </x:c>
      <x:c r="F121" s="17" t="str">
        <x:v>新增V5验收并保留旧回归</x:v>
      </x:c>
      <x:c r="G121" s="17" t="str">
        <x:v>远端最新SHA两套CI四个job成功，实际Flutter选定模块测试及Web构建/隔离MySQL浏览器；本轮未重跑原生真机。</x:v>
      </x:c>
      <x:c r="H121" s="17" t="str">
        <x:v>本轮远端抽查＋队友固定提交审阅</x:v>
      </x:c>
      <x:c r="I121" s="17" t="str">
        <x:v>CORE-DEL-29</x:v>
      </x:c>
      <x:c r="J121" s="17" t="str">
        <x:v>UX-DEL-29</x:v>
      </x:c>
      <x:c r="K121" s="17" t="str">
        <x:v>REQ-005；REQ-008；REQ-013；REQ-015；REQ-032；REQ-041；REQ-044；REQ-045</x:v>
      </x:c>
      <x:c r="L121" s="17" t="str"/>
      <x:c r="M121" s="17" t="str">
        <x:v>V5全纲；队友审阅§检查证据与衔接顺序</x:v>
      </x:c>
      <x:c r="N121" s="17" t="str">
        <x:v>未按V5验收</x:v>
      </x:c>
    </x:row>
    <x:row r="122" ht="75" customHeight="1">
      <x:c r="A122" s="17" t="str">
        <x:v>DEL-29.02</x:v>
      </x:c>
      <x:c r="B122" s="17" t="str">
        <x:v>DEL-29</x:v>
      </x:c>
      <x:c r="C122" s="17" t="str">
        <x:v>迁移和恢复</x:v>
      </x:c>
      <x:c r="D122" s="17" t="str">
        <x:v>增量迁移保留旧规则、备份、恢复和账实校验。</x:v>
      </x:c>
      <x:c r="E122" s="17" t="str">
        <x:v>不重建已跑MySQL、不强制删除旧记录。</x:v>
      </x:c>
      <x:c r="F122" s="17" t="str">
        <x:v>新增V5验收并保留旧回归</x:v>
      </x:c>
      <x:c r="G122" s="17" t="str">
        <x:v>远端最新SHA两套CI四个job成功，实际Flutter选定模块测试及Web构建/隔离MySQL浏览器；本轮未重跑原生真机。</x:v>
      </x:c>
      <x:c r="H122" s="17" t="str">
        <x:v>本轮远端抽查＋队友固定提交审阅</x:v>
      </x:c>
      <x:c r="I122" s="17" t="str">
        <x:v>CORE-DEL-29</x:v>
      </x:c>
      <x:c r="J122" s="17" t="str">
        <x:v>UX-DEL-29</x:v>
      </x:c>
      <x:c r="K122" s="17" t="str">
        <x:v>REQ-005；REQ-008；REQ-013；REQ-015；REQ-032；REQ-041；REQ-044；REQ-045</x:v>
      </x:c>
      <x:c r="L122" s="17" t="str"/>
      <x:c r="M122" s="17" t="str">
        <x:v>V5全纲；队友审阅§检查证据与衔接顺序</x:v>
      </x:c>
      <x:c r="N122" s="17" t="str">
        <x:v>未按V5验收</x:v>
      </x:c>
    </x:row>
    <x:row r="123" ht="75" customHeight="1">
      <x:c r="A123" s="17" t="str">
        <x:v>DEL-29.03</x:v>
      </x:c>
      <x:c r="B123" s="17" t="str">
        <x:v>DEL-29</x:v>
      </x:c>
      <x:c r="C123" s="17" t="str">
        <x:v>供应商验证</x:v>
      </x:c>
      <x:c r="D123" s="17" t="str">
        <x:v>基础数字人、实名、支付、OSS、电子签及删除各有沙箱/正式证据。</x:v>
      </x:c>
      <x:c r="E123" s="17" t="str">
        <x:v>内部回调模拟不升级为正式启用。</x:v>
      </x:c>
      <x:c r="F123" s="17" t="str">
        <x:v>新增V5验收并保留旧回归</x:v>
      </x:c>
      <x:c r="G123" s="17" t="str">
        <x:v>远端最新SHA两套CI四个job成功，实际Flutter选定模块测试及Web构建/隔离MySQL浏览器；本轮未重跑原生真机。</x:v>
      </x:c>
      <x:c r="H123" s="17" t="str">
        <x:v>本轮远端抽查＋队友固定提交审阅</x:v>
      </x:c>
      <x:c r="I123" s="17" t="str">
        <x:v>CORE-DEL-29</x:v>
      </x:c>
      <x:c r="J123" s="17" t="str">
        <x:v>UX-DEL-29</x:v>
      </x:c>
      <x:c r="K123" s="17" t="str">
        <x:v>REQ-005；REQ-008；REQ-013；REQ-015；REQ-032；REQ-041；REQ-044；REQ-045</x:v>
      </x:c>
      <x:c r="L123" s="17" t="str"/>
      <x:c r="M123" s="17" t="str">
        <x:v>V5全纲；队友审阅§检查证据与衔接顺序</x:v>
      </x:c>
      <x:c r="N123" s="17" t="str">
        <x:v>未按V5验收</x:v>
      </x:c>
    </x:row>
    <x:row r="124" ht="75" customHeight="1">
      <x:c r="A124" s="17" t="str">
        <x:v>DEL-29.04</x:v>
      </x:c>
      <x:c r="B124" s="17" t="str">
        <x:v>DEL-29</x:v>
      </x:c>
      <x:c r="C124" s="17" t="str">
        <x:v>发布边界</x:v>
      </x:c>
      <x:c r="D124" s="17" t="str">
        <x:v>main、生产部署和真实收费另授权；阶段合integration不发生产。</x:v>
      </x:c>
      <x:c r="E124" s="17" t="str">
        <x:v>正式签名缺失不得回退debug；未核验外部项保持限制。</x:v>
      </x:c>
      <x:c r="F124" s="17" t="str">
        <x:v>新增V5验收并保留旧回归</x:v>
      </x:c>
      <x:c r="G124" s="17" t="str">
        <x:v>远端最新SHA两套CI四个job成功，实际Flutter选定模块测试及Web构建/隔离MySQL浏览器；本轮未重跑原生真机。</x:v>
      </x:c>
      <x:c r="H124" s="17" t="str">
        <x:v>本轮远端抽查＋队友固定提交审阅</x:v>
      </x:c>
      <x:c r="I124" s="17" t="str">
        <x:v>CORE-DEL-29</x:v>
      </x:c>
      <x:c r="J124" s="17" t="str">
        <x:v>UX-DEL-29</x:v>
      </x:c>
      <x:c r="K124" s="17" t="str">
        <x:v>REQ-005；REQ-008；REQ-013；REQ-015；REQ-032；REQ-041；REQ-044；REQ-045</x:v>
      </x:c>
      <x:c r="L124" s="17" t="str"/>
      <x:c r="M124" s="17" t="str">
        <x:v>V5全纲；队友审阅§检查证据与衔接顺序</x:v>
      </x:c>
      <x:c r="N124" s="17" t="str">
        <x:v>未按V5验收</x:v>
      </x:c>
    </x:row>
    <x:row r="125" ht="75" customHeight="1">
      <x:c r="A125" s="17" t="str">
        <x:v>DEL-19.05</x:v>
      </x:c>
      <x:c r="B125" s="17" t="str">
        <x:v>DEL-19</x:v>
      </x:c>
      <x:c r="C125" s="17" t="str">
        <x:v>月冠军投票、复合评分和奖励兑现</x:v>
      </x:c>
      <x:c r="D125" s="17" t="str">
        <x:v>100晶钻一票、每账号每日10票、60/20/20评分按专项生效版本；投票、反刷、公示、异议、奖品发放分别记账。 60%为官方评分、20%为月度综合榜、20%为晶钻票；未成年人禁投票按专项门禁。</x:v>
      </x:c>
      <x:c r="E125" s="17" t="str">
        <x:v>并发投票不突破每日上限；退款/刷票处理有据；只显示冠军标题不算奖品兑现。</x:v>
      </x:c>
      <x:c r="F125" s="17" t="str">
        <x:v>新增业务</x:v>
      </x:c>
      <x:c r="G125" s="17" t="str">
        <x:v>队友审阅：原18项任务未明确承接月冠军；活跃业务未建。</x:v>
      </x:c>
      <x:c r="H125" s="17" t="str">
        <x:v>队友固定提交审阅，代码差异仅文档已核验</x:v>
      </x:c>
      <x:c r="I125" s="17" t="str">
        <x:v>CORE-DEL-19</x:v>
      </x:c>
      <x:c r="J125" s="17" t="str">
        <x:v>UX-DEL-19</x:v>
      </x:c>
      <x:c r="K125" s="17" t="str">
        <x:v>REQ-020</x:v>
      </x:c>
      <x:c r="L125" s="17" t="str"/>
      <x:c r="M125" s="17" t="str">
        <x:v>信用成长专项§5；队友审阅L94、102</x:v>
      </x:c>
      <x:c r="N125" s="17" t="str">
        <x:v>未按V5验收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7e4e1c13cc9b4eb2"/>
  </x:tableParts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30" hidden="0" customWidth="1"/>
    <x:col min="3" max="3" width="40" hidden="0" customWidth="1"/>
    <x:col min="4" max="4" width="44" hidden="0" customWidth="1"/>
    <x:col min="5" max="5" width="57" hidden="0" customWidth="1"/>
    <x:col min="6" max="6" width="33" hidden="0" customWidth="1"/>
    <x:col min="7" max="7" width="21" hidden="0" customWidth="1"/>
    <x:col min="8" max="8" width="27" hidden="0" customWidth="1"/>
    <x:col min="9" max="9" width="36" hidden="0" customWidth="1"/>
  </x:cols>
  <x:sheetData>
    <x:row r="1" ht="30" customHeight="1">
      <x:c r="A1" s="3" t="str">
        <x:v>133项待执行验收｜不是历史测试通过数</x:v>
      </x:c>
      <x:c r="B1" s="3"/>
      <x:c r="C1" s="3"/>
      <x:c r="D1" s="3"/>
      <x:c r="E1" s="3"/>
      <x:c r="F1" s="3"/>
      <x:c r="G1" s="3"/>
      <x:c r="H1" s="3"/>
      <x:c r="I1" s="3"/>
    </x:row>
    <x:row r="2" ht="26" customHeight="1">
      <x:c r="A2" s="7" t="str">
        <x:v>D1 / 2026-10-16 · PR23@25e6d29 · 此表为执行登记，不是完成率或生产通过证据</x:v>
      </x:c>
      <x:c r="B2" s="7"/>
      <x:c r="C2" s="7"/>
      <x:c r="D2" s="7"/>
      <x:c r="E2" s="7"/>
      <x:c r="F2" s="7"/>
      <x:c r="G2" s="7"/>
      <x:c r="H2" s="7"/>
      <x:c r="I2" s="7"/>
    </x:row>
    <x:row r="4" ht="30" customHeight="1">
      <x:c r="A4" s="12" t="str">
        <x:v>编号</x:v>
      </x:c>
      <x:c r="B4" s="12" t="str">
        <x:v>关联单元或工作包</x:v>
      </x:c>
      <x:c r="C4" s="12" t="str">
        <x:v>场景</x:v>
      </x:c>
      <x:c r="D4" s="12" t="str">
        <x:v>前提</x:v>
      </x:c>
      <x:c r="E4" s="12" t="str">
        <x:v>期望结果</x:v>
      </x:c>
      <x:c r="F4" s="12" t="str">
        <x:v>测试层次</x:v>
      </x:c>
      <x:c r="G4" s="12" t="str">
        <x:v>执行结果</x:v>
      </x:c>
      <x:c r="H4" s="12" t="str">
        <x:v>代码SHA</x:v>
      </x:c>
      <x:c r="I4" s="12" t="str">
        <x:v>证据</x:v>
      </x:c>
    </x:row>
    <x:row r="5" ht="100" customHeight="1">
      <x:c r="A5" s="17" t="str">
        <x:v>ACC-DEL-00.01</x:v>
      </x:c>
      <x:c r="B5" s="17" t="str">
        <x:v>DEL-00.01</x:v>
      </x:c>
      <x:c r="C5" s="17" t="str">
        <x:v>共同起点</x:v>
      </x:c>
      <x:c r="D5" s="17" t="str">
        <x:v>按本条对象构造本人、他人、缺证据、重复请求及旧版本测试资料；真实收费禁用</x:v>
      </x:c>
      <x:c r="E5" s="17" t="str">
        <x:v>复核头提交、目标分支、CI、祖先关系和机密文件；只合integration。；头或目标变化即停；不得拿预生成merge_commit_sha当实际合并。</x:v>
      </x:c>
      <x:c r="F5" s="17" t="str">
        <x:v>单元/契约/隔离MySQL与HTTP/端侧或跨端（按相关性执行）</x:v>
      </x:c>
      <x:c r="G5" s="17" t="str">
        <x:v>NOT_EXECUTED</x:v>
      </x:c>
      <x:c r="H5" s="17"/>
      <x:c r="I5" s="17"/>
    </x:row>
    <x:row r="6" ht="100" customHeight="1">
      <x:c r="A6" s="17" t="str">
        <x:v>ACC-DEL-00.02</x:v>
      </x:c>
      <x:c r="B6" s="17" t="str">
        <x:v>DEL-00.02</x:v>
      </x:c>
      <x:c r="C6" s="17" t="str">
        <x:v>单一执行入口</x:v>
      </x:c>
      <x:c r="D6" s="17" t="str">
        <x:v>按本条对象构造本人、他人、缺证据、重复请求及旧版本测试资料；真实收费禁用</x:v>
      </x:c>
      <x:c r="E6" s="17" t="str">
        <x:v>沿用现有docs/status与docs/tasks/board.json，建立V5完整交付登记。；不得再维护第二个CURRENT真相；旧记录只追加说明。</x:v>
      </x:c>
      <x:c r="F6" s="17" t="str">
        <x:v>单元/契约/隔离MySQL与HTTP/端侧或跨端（按相关性执行）</x:v>
      </x:c>
      <x:c r="G6" s="17" t="str">
        <x:v>NOT_EXECUTED</x:v>
      </x:c>
      <x:c r="H6" s="17"/>
      <x:c r="I6" s="17"/>
    </x:row>
    <x:row r="7" ht="100" customHeight="1">
      <x:c r="A7" s="17" t="str">
        <x:v>ACC-DEL-00.03</x:v>
      </x:c>
      <x:c r="B7" s="17" t="str">
        <x:v>DEL-00.03</x:v>
      </x:c>
      <x:c r="C7" s="17" t="str">
        <x:v>历史范围映射</x:v>
      </x:c>
      <x:c r="D7" s="17" t="str">
        <x:v>按本条对象构造本人、他人、缺证据、重复请求及旧版本测试资料；真实收费禁用</x:v>
      </x:c>
      <x:c r="E7" s="17" t="str">
        <x:v>旧REQ60、原型40条、V5正文与专项参数均有去向。；每个“取消/后置”保留来源和历史读路径。</x:v>
      </x:c>
      <x:c r="F7" s="17" t="str">
        <x:v>单元/契约/隔离MySQL与HTTP/端侧或跨端（按相关性执行）</x:v>
      </x:c>
      <x:c r="G7" s="17" t="str">
        <x:v>NOT_EXECUTED</x:v>
      </x:c>
      <x:c r="H7" s="17"/>
      <x:c r="I7" s="17"/>
    </x:row>
    <x:row r="8" ht="100" customHeight="1">
      <x:c r="A8" s="17" t="str">
        <x:v>ACC-DEL-00.04</x:v>
      </x:c>
      <x:c r="B8" s="17" t="str">
        <x:v>DEL-00.04</x:v>
      </x:c>
      <x:c r="C8" s="17" t="str">
        <x:v>代码与材料隔离</x:v>
      </x:c>
      <x:c r="D8" s="17" t="str">
        <x:v>按本条对象构造本人、他人、缺证据、重复请求及旧版本测试资料；真实收费禁用</x:v>
      </x:c>
      <x:c r="E8" s="17" t="str">
        <x:v>甲方含密钥ZIP、.env、真实资料不进入评审包或普通Git提交。；扫描只报告路径和类别，不回显凭证；发现泄露先隔离处置。</x:v>
      </x:c>
      <x:c r="F8" s="17" t="str">
        <x:v>单元/契约/隔离MySQL与HTTP/端侧或跨端（按相关性执行）</x:v>
      </x:c>
      <x:c r="G8" s="17" t="str">
        <x:v>NOT_EXECUTED</x:v>
      </x:c>
      <x:c r="H8" s="17"/>
      <x:c r="I8" s="17"/>
    </x:row>
    <x:row r="9" ht="100" customHeight="1">
      <x:c r="A9" s="17" t="str">
        <x:v>ACC-DEL-01.01</x:v>
      </x:c>
      <x:c r="B9" s="17" t="str">
        <x:v>DEL-01.01</x:v>
      </x:c>
      <x:c r="C9" s="17" t="str">
        <x:v>同号多业务</x:v>
      </x:c>
      <x:c r="D9" s="17" t="str">
        <x:v>按本条对象构造本人、他人、缺证据、重复请求及旧版本测试资料；真实收费禁用</x:v>
      </x:c>
      <x:c r="E9" s="17" t="str">
        <x:v>同一账号可买也可供给，签约主体独立选择。；切换身份不修改已成交买卖方。</x:v>
      </x:c>
      <x:c r="F9" s="17" t="str">
        <x:v>单元/契约/隔离MySQL与HTTP/端侧或跨端（按相关性执行）</x:v>
      </x:c>
      <x:c r="G9" s="17" t="str">
        <x:v>NOT_EXECUTED</x:v>
      </x:c>
      <x:c r="H9" s="17"/>
      <x:c r="I9" s="17"/>
    </x:row>
    <x:row r="10" ht="100" customHeight="1">
      <x:c r="A10" s="17" t="str">
        <x:v>ACC-DEL-01.02</x:v>
      </x:c>
      <x:c r="B10" s="17" t="str">
        <x:v>DEL-01.02</x:v>
      </x:c>
      <x:c r="C10" s="17" t="str">
        <x:v>三端隔离</x:v>
      </x:c>
      <x:c r="D10" s="17" t="str">
        <x:v>按本条对象构造本人、他人、缺证据、重复请求及旧版本测试资料；真实收费禁用</x:v>
      </x:c>
      <x:c r="E10" s="17" t="str">
        <x:v>C、MCN PC、运营各有会话范围，沿用同一主体事实。；普通用户调用运营或他机构接口必须拒绝。</x:v>
      </x:c>
      <x:c r="F10" s="17" t="str">
        <x:v>单元/契约/隔离MySQL与HTTP/端侧或跨端（按相关性执行）</x:v>
      </x:c>
      <x:c r="G10" s="17" t="str">
        <x:v>NOT_EXECUTED</x:v>
      </x:c>
      <x:c r="H10" s="17"/>
      <x:c r="I10" s="17"/>
    </x:row>
    <x:row r="11" ht="100" customHeight="1">
      <x:c r="A11" s="17" t="str">
        <x:v>ACC-DEL-01.03</x:v>
      </x:c>
      <x:c r="B11" s="17" t="str">
        <x:v>DEL-01.03</x:v>
      </x:c>
      <x:c r="C11" s="17" t="str">
        <x:v>成员失权</x:v>
      </x:c>
      <x:c r="D11" s="17" t="str">
        <x:v>按本条对象构造本人、他人、缺证据、重复请求及旧版本测试资料；真实收费禁用</x:v>
      </x:c>
      <x:c r="E11" s="17" t="str">
        <x:v>成员退出或权限撤销后深链、缓存、下载重新检查。；禁止继续显示或访问失权前读取的私有材料。</x:v>
      </x:c>
      <x:c r="F11" s="17" t="str">
        <x:v>单元/契约/隔离MySQL与HTTP/端侧或跨端（按相关性执行）</x:v>
      </x:c>
      <x:c r="G11" s="17" t="str">
        <x:v>NOT_EXECUTED</x:v>
      </x:c>
      <x:c r="H11" s="17"/>
      <x:c r="I11" s="17"/>
    </x:row>
    <x:row r="12" ht="100" customHeight="1">
      <x:c r="A12" s="17" t="str">
        <x:v>ACC-DEL-01.04</x:v>
      </x:c>
      <x:c r="B12" s="17" t="str">
        <x:v>DEL-01.04</x:v>
      </x:c>
      <x:c r="C12" s="17" t="str">
        <x:v>企业代办</x:v>
      </x:c>
      <x:c r="D12" s="17" t="str">
        <x:v>按本条对象构造本人、他人、缺证据、重复请求及旧版本测试资料；真实收费禁用</x:v>
      </x:c>
      <x:c r="E12" s="17" t="str">
        <x:v>企业授权代表可操作订单与票据，不依靠星探等级代替代表权。；公司切换后不得继承上一主体的审批权限。</x:v>
      </x:c>
      <x:c r="F12" s="17" t="str">
        <x:v>单元/契约/隔离MySQL与HTTP/端侧或跨端（按相关性执行）</x:v>
      </x:c>
      <x:c r="G12" s="17" t="str">
        <x:v>NOT_EXECUTED</x:v>
      </x:c>
      <x:c r="H12" s="17"/>
      <x:c r="I12" s="17"/>
    </x:row>
    <x:row r="13" ht="100" customHeight="1">
      <x:c r="A13" s="17" t="str">
        <x:v>ACC-DEL-02.01</x:v>
      </x:c>
      <x:c r="B13" s="17" t="str">
        <x:v>DEL-02.01</x:v>
      </x:c>
      <x:c r="C13" s="17" t="str">
        <x:v>真实身份和年龄</x:v>
      </x:c>
      <x:c r="D13" s="17" t="str">
        <x:v>按本条对象构造本人、他人、缺证据、重复请求及旧版本测试资料；真实收费禁用</x:v>
      </x:c>
      <x:c r="E13" s="17" t="str">
        <x:v>服务端维护已核验/待核验/受限年龄状态及证据引用。；未成年直接调用充值、试镜、经营、抽奖接口须拒绝。</x:v>
      </x:c>
      <x:c r="F13" s="17" t="str">
        <x:v>单元/契约/隔离MySQL与HTTP/端侧或跨端（按相关性执行）</x:v>
      </x:c>
      <x:c r="G13" s="17" t="str">
        <x:v>NOT_EXECUTED</x:v>
      </x:c>
      <x:c r="H13" s="17"/>
      <x:c r="I13" s="17"/>
    </x:row>
    <x:row r="14" ht="100" customHeight="1">
      <x:c r="A14" s="17" t="str">
        <x:v>ACC-DEL-02.02</x:v>
      </x:c>
      <x:c r="B14" s="17" t="str">
        <x:v>DEL-02.02</x:v>
      </x:c>
      <x:c r="C14" s="17" t="str">
        <x:v>光环申请</x:v>
      </x:c>
      <x:c r="D14" s="17" t="str">
        <x:v>按本条对象构造本人、他人、缺证据、重复请求及旧版本测试资料；真实收费禁用</x:v>
      </x:c>
      <x:c r="E14" s="17" t="str">
        <x:v>L1免费；L2/L3收10元审核费，已付与通过审核分别记录。；付款成功不自动审核通过；失败不能吞费后装作已提交。</x:v>
      </x:c>
      <x:c r="F14" s="17" t="str">
        <x:v>单元/契约/隔离MySQL与HTTP/端侧或跨端（按相关性执行）</x:v>
      </x:c>
      <x:c r="G14" s="17" t="str">
        <x:v>NOT_EXECUTED</x:v>
      </x:c>
      <x:c r="H14" s="17"/>
      <x:c r="I14" s="17"/>
    </x:row>
    <x:row r="15" ht="100" customHeight="1">
      <x:c r="A15" s="17" t="str">
        <x:v>ACC-DEL-02.03</x:v>
      </x:c>
      <x:c r="B15" s="17" t="str">
        <x:v>DEL-02.03</x:v>
      </x:c>
      <x:c r="C15" s="17" t="str">
        <x:v>补件与到期</x:v>
      </x:c>
      <x:c r="D15" s="17" t="str">
        <x:v>按本条对象构造本人、他人、缺证据、重复请求及旧版本测试资料；真实收费禁用</x:v>
      </x:c>
      <x:c r="E15" s="17" t="str">
        <x:v>补料、重复提交收费、到期状态按正式规则版本。；未确认重审收费前，不自行增加第二次扣费。</x:v>
      </x:c>
      <x:c r="F15" s="17" t="str">
        <x:v>单元/契约/隔离MySQL与HTTP/端侧或跨端（按相关性执行）</x:v>
      </x:c>
      <x:c r="G15" s="17" t="str">
        <x:v>NOT_EXECUTED</x:v>
      </x:c>
      <x:c r="H15" s="17"/>
      <x:c r="I15" s="17"/>
    </x:row>
    <x:row r="16" ht="100" customHeight="1">
      <x:c r="A16" s="17" t="str">
        <x:v>ACC-DEL-02.04</x:v>
      </x:c>
      <x:c r="B16" s="17" t="str">
        <x:v>DEL-02.04</x:v>
      </x:c>
      <x:c r="C16" s="17" t="str">
        <x:v>代理及监护</x:v>
      </x:c>
      <x:c r="D16" s="17" t="str">
        <x:v>按本条对象构造本人、他人、缺证据、重复请求及旧版本测试资料；真实收费禁用</x:v>
      </x:c>
      <x:c r="E16" s="17" t="str">
        <x:v>本人授权、机构代理、监护处理分别记录。；代理管理权不代替脸声单独同意；误判可申诉。</x:v>
      </x:c>
      <x:c r="F16" s="17" t="str">
        <x:v>单元/契约/隔离MySQL与HTTP/端侧或跨端（按相关性执行）</x:v>
      </x:c>
      <x:c r="G16" s="17" t="str">
        <x:v>NOT_EXECUTED</x:v>
      </x:c>
      <x:c r="H16" s="17"/>
      <x:c r="I16" s="17"/>
    </x:row>
    <x:row r="17" ht="100" customHeight="1">
      <x:c r="A17" s="17" t="str">
        <x:v>ACC-DEL-03.01</x:v>
      </x:c>
      <x:c r="B17" s="17" t="str">
        <x:v>DEL-03.01</x:v>
      </x:c>
      <x:c r="C17" s="17" t="str">
        <x:v>演员与造型分离</x:v>
      </x:c>
      <x:c r="D17" s="17" t="str">
        <x:v>按本条对象构造本人、他人、缺证据、重复请求及旧版本测试资料；真实收费禁用</x:v>
      </x:c>
      <x:c r="E17" s="17" t="str">
        <x:v>一人多个数字人；同人造型不增加独立权利人或钱包。；全局切换不改旧订单阵容。</x:v>
      </x:c>
      <x:c r="F17" s="17" t="str">
        <x:v>单元/契约/隔离MySQL与HTTP/端侧或跨端（按相关性执行）</x:v>
      </x:c>
      <x:c r="G17" s="17" t="str">
        <x:v>NOT_EXECUTED</x:v>
      </x:c>
      <x:c r="H17" s="17"/>
      <x:c r="I17" s="17"/>
    </x:row>
    <x:row r="18" ht="100" customHeight="1">
      <x:c r="A18" s="17" t="str">
        <x:v>ACC-DEL-03.02</x:v>
      </x:c>
      <x:c r="B18" s="17" t="str">
        <x:v>DEL-03.02</x:v>
      </x:c>
      <x:c r="C18" s="17" t="str">
        <x:v>创建真实结果</x:v>
      </x:c>
      <x:c r="D18" s="17" t="str">
        <x:v>按本条对象构造本人、他人、缺证据、重复请求及旧版本测试资料；真实收费禁用</x:v>
      </x:c>
      <x:c r="E18" s="17" t="str">
        <x:v>收费与资产任务分别记录，外部长期资产ID和可复用证据齐套才显示成功。；普通图生视频、档案插入不算长期模型创建。</x:v>
      </x:c>
      <x:c r="F18" s="17" t="str">
        <x:v>单元/契约/隔离MySQL与HTTP/端侧或跨端（按相关性执行）</x:v>
      </x:c>
      <x:c r="G18" s="17" t="str">
        <x:v>NOT_EXECUTED</x:v>
      </x:c>
      <x:c r="H18" s="17"/>
      <x:c r="I18" s="17"/>
    </x:row>
    <x:row r="19" ht="100" customHeight="1">
      <x:c r="A19" s="17" t="str">
        <x:v>ACC-DEL-03.03</x:v>
      </x:c>
      <x:c r="B19" s="17" t="str">
        <x:v>DEL-03.03</x:v>
      </x:c>
      <x:c r="C19" s="17" t="str">
        <x:v>托管权益</x:v>
      </x:c>
      <x:c r="D19" s="17" t="str">
        <x:v>按本条对象构造本人、他人、缺证据、重复请求及旧版本测试资料；真实收费禁用</x:v>
      </x:c>
      <x:c r="E19" s="17" t="str">
        <x:v>29元/月的服务范围、续期、停费、历史材料访问独立记录。；订阅到期不得自动删除法定保留材料或撤销历史合法许可。</x:v>
      </x:c>
      <x:c r="F19" s="17" t="str">
        <x:v>单元/契约/隔离MySQL与HTTP/端侧或跨端（按相关性执行）</x:v>
      </x:c>
      <x:c r="G19" s="17" t="str">
        <x:v>NOT_EXECUTED</x:v>
      </x:c>
      <x:c r="H19" s="17"/>
      <x:c r="I19" s="17"/>
    </x:row>
    <x:row r="20" ht="100" customHeight="1">
      <x:c r="A20" s="17" t="str">
        <x:v>ACC-DEL-03.04</x:v>
      </x:c>
      <x:c r="B20" s="17" t="str">
        <x:v>DEL-03.04</x:v>
      </x:c>
      <x:c r="C20" s="17" t="str">
        <x:v>造型底板与授权</x:v>
      </x:c>
      <x:c r="D20" s="17" t="str">
        <x:v>按本条对象构造本人、他人、缺证据、重复请求及旧版本测试资料；真实收费禁用</x:v>
      </x:c>
      <x:c r="E20" s="17" t="str">
        <x:v>试镜素材关联对应数字人及具体用途；采集、长期复用、展示分别校验。；素材入库不自动授予买方再次生成和全用途发行权。</x:v>
      </x:c>
      <x:c r="F20" s="17" t="str">
        <x:v>单元/契约/隔离MySQL与HTTP/端侧或跨端（按相关性执行）</x:v>
      </x:c>
      <x:c r="G20" s="17" t="str">
        <x:v>NOT_EXECUTED</x:v>
      </x:c>
      <x:c r="H20" s="17"/>
      <x:c r="I20" s="17"/>
    </x:row>
    <x:row r="21" ht="100" customHeight="1">
      <x:c r="A21" s="17" t="str">
        <x:v>ACC-DEL-04.01</x:v>
      </x:c>
      <x:c r="B21" s="17" t="str">
        <x:v>DEL-04.01</x:v>
      </x:c>
      <x:c r="C21" s="17" t="str">
        <x:v>公开投影</x:v>
      </x:c>
      <x:c r="D21" s="17" t="str">
        <x:v>按本条对象构造本人、他人、缺证据、重复请求及旧版本测试资料；真实收费禁用</x:v>
      </x:c>
      <x:c r="E21" s="17" t="str">
        <x:v>仅输出获准公开的照片、声音和资料。；身份证、合同和全本材料不能通过搜索返回。</x:v>
      </x:c>
      <x:c r="F21" s="17" t="str">
        <x:v>单元/契约/隔离MySQL与HTTP/端侧或跨端（按相关性执行）</x:v>
      </x:c>
      <x:c r="G21" s="17" t="str">
        <x:v>NOT_EXECUTED</x:v>
      </x:c>
      <x:c r="H21" s="17"/>
      <x:c r="I21" s="17"/>
    </x:row>
    <x:row r="22" ht="100" customHeight="1">
      <x:c r="A22" s="17" t="str">
        <x:v>ACC-DEL-04.02</x:v>
      </x:c>
      <x:c r="B22" s="17" t="str">
        <x:v>DEL-04.02</x:v>
      </x:c>
      <x:c r="C22" s="17" t="str">
        <x:v>城市与位置</x:v>
      </x:c>
      <x:c r="D22" s="17" t="str">
        <x:v>按本条对象构造本人、他人、缺证据、重复请求及旧版本测试资料；真实收费禁用</x:v>
      </x:c>
      <x:c r="E22" s="17" t="str">
        <x:v>手动城市可浏览，距离仅在获准定位后计算。；拒绝位置不得阻止无关购买或强制采集。</x:v>
      </x:c>
      <x:c r="F22" s="17" t="str">
        <x:v>单元/契约/隔离MySQL与HTTP/端侧或跨端（按相关性执行）</x:v>
      </x:c>
      <x:c r="G22" s="17" t="str">
        <x:v>NOT_EXECUTED</x:v>
      </x:c>
      <x:c r="H22" s="17"/>
      <x:c r="I22" s="17"/>
    </x:row>
    <x:row r="23" ht="100" customHeight="1">
      <x:c r="A23" s="17" t="str">
        <x:v>ACC-DEL-04.03</x:v>
      </x:c>
      <x:c r="B23" s="17" t="str">
        <x:v>DEL-04.03</x:v>
      </x:c>
      <x:c r="C23" s="17" t="str">
        <x:v>筛选与匹配</x:v>
      </x:c>
      <x:c r="D23" s="17" t="str">
        <x:v>按本条对象构造本人、他人、缺证据、重复请求及旧版本测试资料；真实收费禁用</x:v>
      </x:c>
      <x:c r="E23" s="17" t="str">
        <x:v>目录筛选真实查询；智能推荐有依据及未开通状态。；不得用固定假列表冒充真实智能匹配。</x:v>
      </x:c>
      <x:c r="F23" s="17" t="str">
        <x:v>单元/契约/隔离MySQL与HTTP/端侧或跨端（按相关性执行）</x:v>
      </x:c>
      <x:c r="G23" s="17" t="str">
        <x:v>NOT_EXECUTED</x:v>
      </x:c>
      <x:c r="H23" s="17"/>
      <x:c r="I23" s="17"/>
    </x:row>
    <x:row r="24" ht="100" customHeight="1">
      <x:c r="A24" s="17" t="str">
        <x:v>ACC-DEL-04.04</x:v>
      </x:c>
      <x:c r="B24" s="17" t="str">
        <x:v>DEL-04.04</x:v>
      </x:c>
      <x:c r="C24" s="17" t="str">
        <x:v>详情与邀约</x:v>
      </x:c>
      <x:c r="D24" s="17" t="str">
        <x:v>按本条对象构造本人、他人、缺证据、重复请求及旧版本测试资料；真实收费禁用</x:v>
      </x:c>
      <x:c r="E24" s="17" t="str">
        <x:v>艺人详情进入意向流程；公开试镜入口由该艺人设置决定。；关闭公开试镜不应删除整个艺人广场档案。</x:v>
      </x:c>
      <x:c r="F24" s="17" t="str">
        <x:v>单元/契约/隔离MySQL与HTTP/端侧或跨端（按相关性执行）</x:v>
      </x:c>
      <x:c r="G24" s="17" t="str">
        <x:v>NOT_EXECUTED</x:v>
      </x:c>
      <x:c r="H24" s="17"/>
      <x:c r="I24" s="17"/>
    </x:row>
    <x:row r="25" ht="100" customHeight="1">
      <x:c r="A25" s="17" t="str">
        <x:v>ACC-DEL-05.01</x:v>
      </x:c>
      <x:c r="B25" s="17" t="str">
        <x:v>DEL-05.01</x:v>
      </x:c>
      <x:c r="C25" s="17" t="str">
        <x:v>商品分型</x:v>
      </x:c>
      <x:c r="D25" s="17" t="str">
        <x:v>按本条对象构造本人、他人、缺证据、重复请求及旧版本测试资料；真实收费禁用</x:v>
      </x:c>
      <x:c r="E25" s="17" t="str">
        <x:v>现成成片许可、代做样片服务、定制预览版分别管理。；预览版不可作为已购正式成片交付。</x:v>
      </x:c>
      <x:c r="F25" s="17" t="str">
        <x:v>单元/契约/隔离MySQL与HTTP/端侧或跨端（按相关性执行）</x:v>
      </x:c>
      <x:c r="G25" s="17" t="str">
        <x:v>NOT_EXECUTED</x:v>
      </x:c>
      <x:c r="H25" s="17"/>
      <x:c r="I25" s="17"/>
    </x:row>
    <x:row r="26" ht="100" customHeight="1">
      <x:c r="A26" s="17" t="str">
        <x:v>ACC-DEL-05.02</x:v>
      </x:c>
      <x:c r="B26" s="17" t="str">
        <x:v>DEL-05.02</x:v>
      </x:c>
      <x:c r="C26" s="17" t="str">
        <x:v>供给上架</x:v>
      </x:c>
      <x:c r="D26" s="17" t="str">
        <x:v>按本条对象构造本人、他人、缺证据、重复请求及旧版本测试资料；真实收费禁用</x:v>
      </x:c>
      <x:c r="E26" s="17" t="str">
        <x:v>艺人/MCN自制视频经权利和内容审核后发布。；作者剧本门户停用不能连带关闭艺人视频上架。</x:v>
      </x:c>
      <x:c r="F26" s="17" t="str">
        <x:v>单元/契约/隔离MySQL与HTTP/端侧或跨端（按相关性执行）</x:v>
      </x:c>
      <x:c r="G26" s="17" t="str">
        <x:v>NOT_EXECUTED</x:v>
      </x:c>
      <x:c r="H26" s="17"/>
      <x:c r="I26" s="17"/>
    </x:row>
    <x:row r="27" ht="100" customHeight="1">
      <x:c r="A27" s="17" t="str">
        <x:v>ACC-DEL-05.03</x:v>
      </x:c>
      <x:c r="B27" s="17" t="str">
        <x:v>DEL-05.03</x:v>
      </x:c>
      <x:c r="C27" s="17" t="str">
        <x:v>许可明示</x:v>
      </x:c>
      <x:c r="D27" s="17" t="str">
        <x:v>按本条对象构造本人、他人、缺证据、重复请求及旧版本测试资料；真实收费禁用</x:v>
      </x:c>
      <x:c r="E27" s="17" t="str">
        <x:v>非独家个人非商业分享默认范围及排除用途写进商品和订单。；买视频不取得模型、声音独用或再次AI生成权。</x:v>
      </x:c>
      <x:c r="F27" s="17" t="str">
        <x:v>单元/契约/隔离MySQL与HTTP/端侧或跨端（按相关性执行）</x:v>
      </x:c>
      <x:c r="G27" s="17" t="str">
        <x:v>NOT_EXECUTED</x:v>
      </x:c>
      <x:c r="H27" s="17"/>
      <x:c r="I27" s="17"/>
    </x:row>
    <x:row r="28" ht="100" customHeight="1">
      <x:c r="A28" s="17" t="str">
        <x:v>ACC-DEL-05.04</x:v>
      </x:c>
      <x:c r="B28" s="17" t="str">
        <x:v>DEL-05.04</x:v>
      </x:c>
      <x:c r="C28" s="17" t="str">
        <x:v>CMS内容</x:v>
      </x:c>
      <x:c r="D28" s="17" t="str">
        <x:v>按本条对象构造本人、他人、缺证据、重复请求及旧版本测试资料；真实收费禁用</x:v>
      </x:c>
      <x:c r="E28" s="17" t="str">
        <x:v>类别、节日、SKU、价格、推荐位、上下架和附件版本可管理。；表单配置不含可执行代码，不允许草稿价直接成为正式价。</x:v>
      </x:c>
      <x:c r="F28" s="17" t="str">
        <x:v>单元/契约/隔离MySQL与HTTP/端侧或跨端（按相关性执行）</x:v>
      </x:c>
      <x:c r="G28" s="17" t="str">
        <x:v>NOT_EXECUTED</x:v>
      </x:c>
      <x:c r="H28" s="17"/>
      <x:c r="I28" s="17"/>
    </x:row>
    <x:row r="29" ht="100" customHeight="1">
      <x:c r="A29" s="17" t="str">
        <x:v>ACC-DEL-06.01</x:v>
      </x:c>
      <x:c r="B29" s="17" t="str">
        <x:v>DEL-06.01</x:v>
      </x:c>
      <x:c r="C29" s="17" t="str">
        <x:v>现货独立路径</x:v>
      </x:c>
      <x:c r="D29" s="17" t="str">
        <x:v>按本条对象构造本人、他人、缺证据、重复请求及旧版本测试资料；真实收费禁用</x:v>
      </x:c>
      <x:c r="E29" s="17" t="str">
        <x:v>购买现成成片不填故事、不强制拥有数字人。；不能把现货带进定制工单。</x:v>
      </x:c>
      <x:c r="F29" s="17" t="str">
        <x:v>单元/契约/隔离MySQL与HTTP/端侧或跨端（按相关性执行）</x:v>
      </x:c>
      <x:c r="G29" s="17" t="str">
        <x:v>NOT_EXECUTED</x:v>
      </x:c>
      <x:c r="H29" s="17"/>
      <x:c r="I29" s="17"/>
    </x:row>
    <x:row r="30" ht="100" customHeight="1">
      <x:c r="A30" s="17" t="str">
        <x:v>ACC-DEL-06.02</x:v>
      </x:c>
      <x:c r="B30" s="17" t="str">
        <x:v>DEL-06.02</x:v>
      </x:c>
      <x:c r="C30" s="17" t="str">
        <x:v>发放幂等</x:v>
      </x:c>
      <x:c r="D30" s="17" t="str">
        <x:v>按本条对象构造本人、他人、缺证据、重复请求及旧版本测试资料；真实收费禁用</x:v>
      </x:c>
      <x:c r="E30" s="17" t="str">
        <x:v>验签查单确认后发放购买权益。；重复回调、重复点击不重复发权或扣款。</x:v>
      </x:c>
      <x:c r="F30" s="17" t="str">
        <x:v>单元/契约/隔离MySQL与HTTP/端侧或跨端（按相关性执行）</x:v>
      </x:c>
      <x:c r="G30" s="17" t="str">
        <x:v>NOT_EXECUTED</x:v>
      </x:c>
      <x:c r="H30" s="17"/>
      <x:c r="I30" s="17"/>
    </x:row>
    <x:row r="31" ht="100" customHeight="1">
      <x:c r="A31" s="17" t="str">
        <x:v>ACC-DEL-06.03</x:v>
      </x:c>
      <x:c r="B31" s="17" t="str">
        <x:v>DEL-06.03</x:v>
      </x:c>
      <x:c r="C31" s="17" t="str">
        <x:v>下载与许可</x:v>
      </x:c>
      <x:c r="D31" s="17" t="str">
        <x:v>按本条对象构造本人、他人、缺证据、重复请求及旧版本测试资料；真实收费禁用</x:v>
      </x:c>
      <x:c r="E31" s="17" t="str">
        <x:v>按买家/已购版本/用途控制文件访问。；链接过期可重取；退款/侵权处置须按规则控制新增分发。</x:v>
      </x:c>
      <x:c r="F31" s="17" t="str">
        <x:v>单元/契约/隔离MySQL与HTTP/端侧或跨端（按相关性执行）</x:v>
      </x:c>
      <x:c r="G31" s="17" t="str">
        <x:v>NOT_EXECUTED</x:v>
      </x:c>
      <x:c r="H31" s="17"/>
      <x:c r="I31" s="17"/>
    </x:row>
    <x:row r="32" ht="100" customHeight="1">
      <x:c r="A32" s="17" t="str">
        <x:v>ACC-DEL-06.04</x:v>
      </x:c>
      <x:c r="B32" s="17" t="str">
        <x:v>DEL-06.04</x:v>
      </x:c>
      <x:c r="C32" s="17" t="str">
        <x:v>交付时序</x:v>
      </x:c>
      <x:c r="D32" s="17" t="str">
        <x:v>按本条对象构造本人、他人、缺证据、重复请求及旧版本测试资料；真实收费禁用</x:v>
      </x:c>
      <x:c r="E32" s="17" t="str">
        <x:v>付款解锁、验收、售后与清分分别记录。；验收期限未定不能混用48小时、3天、7天。</x:v>
      </x:c>
      <x:c r="F32" s="17" t="str">
        <x:v>单元/契约/隔离MySQL与HTTP/端侧或跨端（按相关性执行）</x:v>
      </x:c>
      <x:c r="G32" s="17" t="str">
        <x:v>NOT_EXECUTED</x:v>
      </x:c>
      <x:c r="H32" s="17"/>
      <x:c r="I32" s="17"/>
    </x:row>
    <x:row r="33" ht="100" customHeight="1">
      <x:c r="A33" s="17" t="str">
        <x:v>ACC-DEL-07.01</x:v>
      </x:c>
      <x:c r="B33" s="17" t="str">
        <x:v>DEL-07.01</x:v>
      </x:c>
      <x:c r="C33" s="17" t="str">
        <x:v>类型化付款计划</x:v>
      </x:c>
      <x:c r="D33" s="17" t="str">
        <x:v>按本条对象构造本人、他人、缺证据、重复请求及旧版本测试资料；真实收费禁用</x:v>
      </x:c>
      <x:c r="E33" s="17" t="str">
        <x:v>定制30%→累计90%→尾款10%；样片制作50/50；试镜总价一次支付。；累计90%不能被实现为再付90%。</x:v>
      </x:c>
      <x:c r="F33" s="17" t="str">
        <x:v>单元/契约/隔离MySQL与HTTP/端侧或跨端（按相关性执行）</x:v>
      </x:c>
      <x:c r="G33" s="17" t="str">
        <x:v>NOT_EXECUTED</x:v>
      </x:c>
      <x:c r="H33" s="17"/>
      <x:c r="I33" s="17"/>
    </x:row>
    <x:row r="34" ht="100" customHeight="1">
      <x:c r="A34" s="17" t="str">
        <x:v>ACC-DEL-07.02</x:v>
      </x:c>
      <x:c r="B34" s="17" t="str">
        <x:v>DEL-07.02</x:v>
      </x:c>
      <x:c r="C34" s="17" t="str">
        <x:v>真实收银接线</x:v>
      </x:c>
      <x:c r="D34" s="17" t="str">
        <x:v>按本条对象构造本人、他人、缺证据、重复请求及旧版本测试资料；真实收费禁用</x:v>
      </x:c>
      <x:c r="E34" s="17" t="str">
        <x:v>调用已确认的渠道产品，回跳后向服务器查单。；取消/超时/未知结果不冒充失败可重扣或成功。</x:v>
      </x:c>
      <x:c r="F34" s="17" t="str">
        <x:v>单元/契约/隔离MySQL与HTTP/端侧或跨端（按相关性执行）</x:v>
      </x:c>
      <x:c r="G34" s="17" t="str">
        <x:v>NOT_EXECUTED</x:v>
      </x:c>
      <x:c r="H34" s="17"/>
      <x:c r="I34" s="17"/>
    </x:row>
    <x:row r="35" ht="100" customHeight="1">
      <x:c r="A35" s="17" t="str">
        <x:v>ACC-DEL-07.03</x:v>
      </x:c>
      <x:c r="B35" s="17" t="str">
        <x:v>DEL-07.03</x:v>
      </x:c>
      <x:c r="C35" s="17" t="str">
        <x:v>补差与订单变更</x:v>
      </x:c>
      <x:c r="D35" s="17" t="str">
        <x:v>按本条对象构造本人、他人、缺证据、重复请求及旧版本测试资料；真实收费禁用</x:v>
      </x:c>
      <x:c r="E35" s="17" t="str">
        <x:v>订单内报价变更需对方确认并产生补差记录。；不建transport_fee字段、不用聊天文字改历史实收。</x:v>
      </x:c>
      <x:c r="F35" s="17" t="str">
        <x:v>单元/契约/隔离MySQL与HTTP/端侧或跨端（按相关性执行）</x:v>
      </x:c>
      <x:c r="G35" s="17" t="str">
        <x:v>NOT_EXECUTED</x:v>
      </x:c>
      <x:c r="H35" s="17"/>
      <x:c r="I35" s="17"/>
    </x:row>
    <x:row r="36" ht="100" customHeight="1">
      <x:c r="A36" s="17" t="str">
        <x:v>ACC-DEL-07.04</x:v>
      </x:c>
      <x:c r="B36" s="17" t="str">
        <x:v>DEL-07.04</x:v>
      </x:c>
      <x:c r="C36" s="17" t="str">
        <x:v>退款补救</x:v>
      </x:c>
      <x:c r="D36" s="17" t="str">
        <x:v>按本条对象构造本人、他人、缺证据、重复请求及旧版本测试资料；真实收费禁用</x:v>
      </x:c>
      <x:c r="E36" s="17" t="str">
        <x:v>按订单行和履约证据申请，回调幂等、超额拦截、部分退款。；退款已申请与原路到账分开；券/积分/返佣联动。</x:v>
      </x:c>
      <x:c r="F36" s="17" t="str">
        <x:v>单元/契约/隔离MySQL与HTTP/端侧或跨端（按相关性执行）</x:v>
      </x:c>
      <x:c r="G36" s="17" t="str">
        <x:v>NOT_EXECUTED</x:v>
      </x:c>
      <x:c r="H36" s="17"/>
      <x:c r="I36" s="17"/>
    </x:row>
    <x:row r="37" ht="100" customHeight="1">
      <x:c r="A37" s="17" t="str">
        <x:v>ACC-DEL-08.01</x:v>
      </x:c>
      <x:c r="B37" s="17" t="str">
        <x:v>DEL-08.01</x:v>
      </x:c>
      <x:c r="C37" s="17" t="str">
        <x:v>两层计算</x:v>
      </x:c>
      <x:c r="D37" s="17" t="str">
        <x:v>按本条对象构造本人、他人、缺证据、重复请求及旧版本测试资料；真实收费禁用</x:v>
      </x:c>
      <x:c r="E37" s="17" t="str">
        <x:v>样片18%、商单/试镜22%先扣，供给余额默认艺人80/MCN20。；样片100元有MCN应为平台18、MCN16.40、艺人65.60（无推荐人）。</x:v>
      </x:c>
      <x:c r="F37" s="17" t="str">
        <x:v>单元/契约/隔离MySQL与HTTP/端侧或跨端（按相关性执行）</x:v>
      </x:c>
      <x:c r="G37" s="17" t="str">
        <x:v>NOT_EXECUTED</x:v>
      </x:c>
      <x:c r="H37" s="17"/>
      <x:c r="I37" s="17"/>
    </x:row>
    <x:row r="38" ht="100" customHeight="1">
      <x:c r="A38" s="17" t="str">
        <x:v>ACC-DEL-08.02</x:v>
      </x:c>
      <x:c r="B38" s="17" t="str">
        <x:v>DEL-08.02</x:v>
      </x:c>
      <x:c r="C38" s="17" t="str">
        <x:v>双重校验更新</x:v>
      </x:c>
      <x:c r="D38" s="17" t="str">
        <x:v>按本条对象构造本人、他人、缺证据、重复请求及旧版本测试资料；真实收费禁用</x:v>
      </x:c>
      <x:c r="E38" s="17" t="str">
        <x:v>计算器与财务来源校验/目标应付同步分版本。；不能只修gigs函数而被历史校验拒绝。</x:v>
      </x:c>
      <x:c r="F38" s="17" t="str">
        <x:v>单元/契约/隔离MySQL与HTTP/端侧或跨端（按相关性执行）</x:v>
      </x:c>
      <x:c r="G38" s="17" t="str">
        <x:v>NOT_EXECUTED</x:v>
      </x:c>
      <x:c r="H38" s="17"/>
      <x:c r="I38" s="17"/>
    </x:row>
    <x:row r="39" ht="100" customHeight="1">
      <x:c r="A39" s="17" t="str">
        <x:v>ACC-DEL-08.03</x:v>
      </x:c>
      <x:c r="B39" s="17" t="str">
        <x:v>DEL-08.03</x:v>
      </x:c>
      <x:c r="C39" s="17" t="str">
        <x:v>历史隔离</x:v>
      </x:c>
      <x:c r="D39" s="17" t="str">
        <x:v>按本条对象构造本人、他人、缺证据、重复请求及旧版本测试资料；真实收费禁用</x:v>
      </x:c>
      <x:c r="E39" s="17" t="str">
        <x:v>旧订单按旧规则重放；新单用新规则；无法判定版本进复核。；禁止给旧合同静默补V5费率或重算已付。</x:v>
      </x:c>
      <x:c r="F39" s="17" t="str">
        <x:v>单元/契约/隔离MySQL与HTTP/端侧或跨端（按相关性执行）</x:v>
      </x:c>
      <x:c r="G39" s="17" t="str">
        <x:v>NOT_EXECUTED</x:v>
      </x:c>
      <x:c r="H39" s="17"/>
      <x:c r="I39" s="17"/>
    </x:row>
    <x:row r="40" ht="100" customHeight="1">
      <x:c r="A40" s="17" t="str">
        <x:v>ACC-DEL-08.04</x:v>
      </x:c>
      <x:c r="B40" s="17" t="str">
        <x:v>DEL-08.04</x:v>
      </x:c>
      <x:c r="C40" s="17" t="str">
        <x:v>资金事实</x:v>
      </x:c>
      <x:c r="D40" s="17" t="str">
        <x:v>按本条对象构造本人、他人、缺证据、重复请求及旧版本测试资料；真实收费禁用</x:v>
      </x:c>
      <x:c r="E40" s="17" t="str">
        <x:v>净留、MCN、艺人、推荐人总额守恒；退款及小额尾差有据。；实际结算成功以通道证据为准；发行未来收入不从订单金额凭空分红。</x:v>
      </x:c>
      <x:c r="F40" s="17" t="str">
        <x:v>单元/契约/隔离MySQL与HTTP/端侧或跨端（按相关性执行）</x:v>
      </x:c>
      <x:c r="G40" s="17" t="str">
        <x:v>NOT_EXECUTED</x:v>
      </x:c>
      <x:c r="H40" s="17"/>
      <x:c r="I40" s="17"/>
    </x:row>
    <x:row r="41" ht="100" customHeight="1">
      <x:c r="A41" s="17" t="str">
        <x:v>ACC-DEL-09.01</x:v>
      </x:c>
      <x:c r="B41" s="17" t="str">
        <x:v>DEL-09.01</x:v>
      </x:c>
      <x:c r="C41" s="17" t="str">
        <x:v>可约与报价</x:v>
      </x:c>
      <x:c r="D41" s="17" t="str">
        <x:v>按本条对象构造本人、他人、缺证据、重复请求及旧版本测试资料；真实收费禁用</x:v>
      </x:c>
      <x:c r="E41" s="17" t="str">
        <x:v>公开试镜开关与个人主页可见分开；总价含交通抽22%。；不新增实报交通分账豁免或固定妆造菜单。</x:v>
      </x:c>
      <x:c r="F41" s="17" t="str">
        <x:v>单元/契约/隔离MySQL与HTTP/端侧或跨端（按相关性执行）</x:v>
      </x:c>
      <x:c r="G41" s="17" t="str">
        <x:v>NOT_EXECUTED</x:v>
      </x:c>
      <x:c r="H41" s="17"/>
      <x:c r="I41" s="17"/>
    </x:row>
    <x:row r="42" ht="100" customHeight="1">
      <x:c r="A42" s="17" t="str">
        <x:v>ACC-DEL-09.02</x:v>
      </x:c>
      <x:c r="B42" s="17" t="str">
        <x:v>DEL-09.02</x:v>
      </x:c>
      <x:c r="C42" s="17" t="str">
        <x:v>先付后接拒</x:v>
      </x:c>
      <x:c r="D42" s="17" t="str">
        <x:v>按本条对象构造本人、他人、缺证据、重复请求及旧版本测试资料；真实收费禁用</x:v>
      </x:c>
      <x:c r="E42" s="17" t="str">
        <x:v>付款托管成功后发邀约，艺人接受/拒绝/超时。；未接受退款不得计成长、返佣或开放联系。</x:v>
      </x:c>
      <x:c r="F42" s="17" t="str">
        <x:v>单元/契约/隔离MySQL与HTTP/端侧或跨端（按相关性执行）</x:v>
      </x:c>
      <x:c r="G42" s="17" t="str">
        <x:v>NOT_EXECUTED</x:v>
      </x:c>
      <x:c r="H42" s="17"/>
      <x:c r="I42" s="17"/>
    </x:row>
    <x:row r="43" ht="100" customHeight="1">
      <x:c r="A43" s="17" t="str">
        <x:v>ACC-DEL-09.03</x:v>
      </x:c>
      <x:c r="B43" s="17" t="str">
        <x:v>DEL-09.03</x:v>
      </x:c>
      <x:c r="C43" s="17" t="str">
        <x:v>履约与素材</x:v>
      </x:c>
      <x:c r="D43" s="17" t="str">
        <x:v>按本条对象构造本人、他人、缺证据、重复请求及旧版本测试资料；真实收费禁用</x:v>
      </x:c>
      <x:c r="E43" s="17" t="str">
        <x:v>按约到场与6照1视频分别留痕，确认不以录用为条件。；试镜费不自动购买后续出演/版权。</x:v>
      </x:c>
      <x:c r="F43" s="17" t="str">
        <x:v>单元/契约/隔离MySQL与HTTP/端侧或跨端（按相关性执行）</x:v>
      </x:c>
      <x:c r="G43" s="17" t="str">
        <x:v>NOT_EXECUTED</x:v>
      </x:c>
      <x:c r="H43" s="17"/>
      <x:c r="I43" s="17"/>
    </x:row>
    <x:row r="44" ht="100" customHeight="1">
      <x:c r="A44" s="17" t="str">
        <x:v>ACC-DEL-09.04</x:v>
      </x:c>
      <x:c r="B44" s="17" t="str">
        <x:v>DEL-09.04</x:v>
      </x:c>
      <x:c r="C44" s="17" t="str">
        <x:v>异常与安全</x:v>
      </x:c>
      <x:c r="D44" s="17" t="str">
        <x:v>按本条对象构造本人、他人、缺证据、重复请求及旧版本测试资料；真实收费禁用</x:v>
      </x:c>
      <x:c r="E44" s="17" t="str">
        <x:v>正规地点、改期、未到场、纠纷、超时确认任务与撤回。；争议中不自动清分；素材长期复用要独立用途依据。</x:v>
      </x:c>
      <x:c r="F44" s="17" t="str">
        <x:v>单元/契约/隔离MySQL与HTTP/端侧或跨端（按相关性执行）</x:v>
      </x:c>
      <x:c r="G44" s="17" t="str">
        <x:v>NOT_EXECUTED</x:v>
      </x:c>
      <x:c r="H44" s="17"/>
      <x:c r="I44" s="17"/>
    </x:row>
    <x:row r="45" ht="100" customHeight="1">
      <x:c r="A45" s="17" t="str">
        <x:v>ACC-DEL-10.01</x:v>
      </x:c>
      <x:c r="B45" s="17" t="str">
        <x:v>DEL-10.01</x:v>
      </x:c>
      <x:c r="C45" s="17" t="str">
        <x:v>六类结构</x:v>
      </x:c>
      <x:c r="D45" s="17" t="str">
        <x:v>按本条对象构造本人、他人、缺证据、重复请求及旧版本测试资料；真实收费禁用</x:v>
      </x:c>
      <x:c r="E45" s="17" t="str">
        <x:v>按类型收集地点、用途、人数、时间或信息内容。；平台通告不得由普通星探冒充官方发布。</x:v>
      </x:c>
      <x:c r="F45" s="17" t="str">
        <x:v>单元/契约/隔离MySQL与HTTP/端侧或跨端（按相关性执行）</x:v>
      </x:c>
      <x:c r="G45" s="17" t="str">
        <x:v>NOT_EXECUTED</x:v>
      </x:c>
      <x:c r="H45" s="17"/>
      <x:c r="I45" s="17"/>
    </x:row>
    <x:row r="46" ht="100" customHeight="1">
      <x:c r="A46" s="17" t="str">
        <x:v>ACC-DEL-10.02</x:v>
      </x:c>
      <x:c r="B46" s="17" t="str">
        <x:v>DEL-10.02</x:v>
      </x:c>
      <x:c r="C46" s="17" t="str">
        <x:v>权限矩阵</x:v>
      </x:c>
      <x:c r="D46" s="17" t="str">
        <x:v>按本条对象构造本人、他人、缺证据、重复请求及旧版本测试资料；真实收费禁用</x:v>
      </x:c>
      <x:c r="E46" s="17" t="str">
        <x:v>普通实名买家、星探等级、机构各有可发布动作。；前台隐藏之外必须有服务端动作鉴权。</x:v>
      </x:c>
      <x:c r="F46" s="17" t="str">
        <x:v>单元/契约/隔离MySQL与HTTP/端侧或跨端（按相关性执行）</x:v>
      </x:c>
      <x:c r="G46" s="17" t="str">
        <x:v>NOT_EXECUTED</x:v>
      </x:c>
      <x:c r="H46" s="17"/>
      <x:c r="I46" s="17"/>
    </x:row>
    <x:row r="47" ht="100" customHeight="1">
      <x:c r="A47" s="17" t="str">
        <x:v>ACC-DEL-10.03</x:v>
      </x:c>
      <x:c r="B47" s="17" t="str">
        <x:v>DEL-10.03</x:v>
      </x:c>
      <x:c r="C47" s="17" t="str">
        <x:v>通告非订单</x:v>
      </x:c>
      <x:c r="D47" s="17" t="str">
        <x:v>按本条对象构造本人、他人、缺证据、重复请求及旧版本测试资料；真实收费禁用</x:v>
      </x:c>
      <x:c r="E47" s="17" t="str">
        <x:v>发布/报名与成交、角色授权分别记录。；点击感兴趣不自动下单或授予角色。</x:v>
      </x:c>
      <x:c r="F47" s="17" t="str">
        <x:v>单元/契约/隔离MySQL与HTTP/端侧或跨端（按相关性执行）</x:v>
      </x:c>
      <x:c r="G47" s="17" t="str">
        <x:v>NOT_EXECUTED</x:v>
      </x:c>
      <x:c r="H47" s="17"/>
      <x:c r="I47" s="17"/>
    </x:row>
    <x:row r="48" ht="100" customHeight="1">
      <x:c r="A48" s="17" t="str">
        <x:v>ACC-DEL-10.04</x:v>
      </x:c>
      <x:c r="B48" s="17" t="str">
        <x:v>DEL-10.04</x:v>
      </x:c>
      <x:c r="C48" s="17" t="str">
        <x:v>周期与历史</x:v>
      </x:c>
      <x:c r="D48" s="17" t="str">
        <x:v>按本条对象构造本人、他人、缺证据、重复请求及旧版本测试资料；真实收费禁用</x:v>
      </x:c>
      <x:c r="E48" s="17" t="str">
        <x:v>截止、下架、修订有版本；历史申请可查询。；关键条件改动需告知已有申请人。</x:v>
      </x:c>
      <x:c r="F48" s="17" t="str">
        <x:v>单元/契约/隔离MySQL与HTTP/端侧或跨端（按相关性执行）</x:v>
      </x:c>
      <x:c r="G48" s="17" t="str">
        <x:v>NOT_EXECUTED</x:v>
      </x:c>
      <x:c r="H48" s="17"/>
      <x:c r="I48" s="17"/>
    </x:row>
    <x:row r="49" ht="100" customHeight="1">
      <x:c r="A49" s="17" t="str">
        <x:v>ACC-DEL-11.01</x:v>
      </x:c>
      <x:c r="B49" s="17" t="str">
        <x:v>DEL-11.01</x:v>
      </x:c>
      <x:c r="C49" s="17" t="str">
        <x:v>单向提交</x:v>
      </x:c>
      <x:c r="D49" s="17" t="str">
        <x:v>按本条对象构造本人、他人、缺证据、重复请求及旧版本测试资料；真实收费禁用</x:v>
      </x:c>
      <x:c r="E49" s="17" t="str">
        <x:v>未成交只能结构化意向及素材投递。；不能从submission接口建立自由聊天。</x:v>
      </x:c>
      <x:c r="F49" s="17" t="str">
        <x:v>单元/契约/隔离MySQL与HTTP/端侧或跨端（按相关性执行）</x:v>
      </x:c>
      <x:c r="G49" s="17" t="str">
        <x:v>NOT_EXECUTED</x:v>
      </x:c>
      <x:c r="H49" s="17"/>
      <x:c r="I49" s="17"/>
    </x:row>
    <x:row r="50" ht="100" customHeight="1">
      <x:c r="A50" s="17" t="str">
        <x:v>ACC-DEL-11.02</x:v>
      </x:c>
      <x:c r="B50" s="17" t="str">
        <x:v>DEL-11.02</x:v>
      </x:c>
      <x:c r="C50" s="17" t="str">
        <x:v>三类投稿</x:v>
      </x:c>
      <x:c r="D50" s="17" t="str">
        <x:v>按本条对象构造本人、他人、缺证据、重复请求及旧版本测试资料；真实收费禁用</x:v>
      </x:c>
      <x:c r="E50" s="17" t="str">
        <x:v>数字人形象、想演角色、想做剧分别收集材料与用途。；发件人不能投递未获管理权的数字人素材。</x:v>
      </x:c>
      <x:c r="F50" s="17" t="str">
        <x:v>单元/契约/隔离MySQL与HTTP/端侧或跨端（按相关性执行）</x:v>
      </x:c>
      <x:c r="G50" s="17" t="str">
        <x:v>NOT_EXECUTED</x:v>
      </x:c>
      <x:c r="H50" s="17"/>
      <x:c r="I50" s="17"/>
    </x:row>
    <x:row r="51" ht="100" customHeight="1">
      <x:c r="A51" s="17" t="str">
        <x:v>ACC-DEL-11.03</x:v>
      </x:c>
      <x:c r="B51" s="17" t="str">
        <x:v>DEL-11.03</x:v>
      </x:c>
      <x:c r="C51" s="17" t="str">
        <x:v>客服接管</x:v>
      </x:c>
      <x:c r="D51" s="17" t="str">
        <x:v>按本条对象构造本人、他人、缺证据、重复请求及旧版本测试资料；真实收费禁用</x:v>
      </x:c>
      <x:c r="E51" s="17" t="str">
        <x:v>同意合作生成一次客服工单，指派并补需求报价。；重复同意不得生成多个工单或多笔订单。</x:v>
      </x:c>
      <x:c r="F51" s="17" t="str">
        <x:v>单元/契约/隔离MySQL与HTTP/端侧或跨端（按相关性执行）</x:v>
      </x:c>
      <x:c r="G51" s="17" t="str">
        <x:v>NOT_EXECUTED</x:v>
      </x:c>
      <x:c r="H51" s="17"/>
      <x:c r="I51" s="17"/>
    </x:row>
    <x:row r="52" ht="100" customHeight="1">
      <x:c r="A52" s="17" t="str">
        <x:v>ACC-DEL-11.04</x:v>
      </x:c>
      <x:c r="B52" s="17" t="str">
        <x:v>DEL-11.04</x:v>
      </x:c>
      <x:c r="C52" s="17" t="str">
        <x:v>关闭与通知</x:v>
      </x:c>
      <x:c r="D52" s="17" t="str">
        <x:v>按本条对象构造本人、他人、缺证据、重复请求及旧版本测试资料；真实收费禁用</x:v>
      </x:c>
      <x:c r="E52" s="17" t="str">
        <x:v>婉拒、72小时等适用期限、撤回和关闭说明由规则确定。；客服转单不抹掉原意向及授权范围。</x:v>
      </x:c>
      <x:c r="F52" s="17" t="str">
        <x:v>单元/契约/隔离MySQL与HTTP/端侧或跨端（按相关性执行）</x:v>
      </x:c>
      <x:c r="G52" s="17" t="str">
        <x:v>NOT_EXECUTED</x:v>
      </x:c>
      <x:c r="H52" s="17"/>
      <x:c r="I52" s="17"/>
    </x:row>
    <x:row r="53" ht="100" customHeight="1">
      <x:c r="A53" s="17" t="str">
        <x:v>ACC-DEL-12.01</x:v>
      </x:c>
      <x:c r="B53" s="17" t="str">
        <x:v>DEL-12.01</x:v>
      </x:c>
      <x:c r="C53" s="17" t="str">
        <x:v>成立条件</x:v>
      </x:c>
      <x:c r="D53" s="17" t="str">
        <x:v>按本条对象构造本人、他人、缺证据、重复请求及旧版本测试资料；真实收费禁用</x:v>
      </x:c>
      <x:c r="E53" s="17" t="str">
        <x:v>按2.10具体业务检查接受及约定付款，两者与普通感兴趣区分。；已接受未付款的正式试镜不自动开聊或见私人联系方式。</x:v>
      </x:c>
      <x:c r="F53" s="17" t="str">
        <x:v>单元/契约/隔离MySQL与HTTP/端侧或跨端（按相关性执行）</x:v>
      </x:c>
      <x:c r="G53" s="17" t="str">
        <x:v>NOT_EXECUTED</x:v>
      </x:c>
      <x:c r="H53" s="17"/>
      <x:c r="I53" s="17"/>
    </x:row>
    <x:row r="54" ht="100" customHeight="1">
      <x:c r="A54" s="17" t="str">
        <x:v>ACC-DEL-12.02</x:v>
      </x:c>
      <x:c r="B54" s="17" t="str">
        <x:v>DEL-12.02</x:v>
      </x:c>
      <x:c r="C54" s="17" t="str">
        <x:v>消息能力</x:v>
      </x:c>
      <x:c r="D54" s="17" t="str">
        <x:v>按本条对象构造本人、他人、缺证据、重复请求及旧版本测试资料；真实收费禁用</x:v>
      </x:c>
      <x:c r="E54" s="17" t="str">
        <x:v>文本、业务卡片、获准视频、客服入口、未读与失败重发。；重复发送按幂等ID去重，失权成员深链拒绝。</x:v>
      </x:c>
      <x:c r="F54" s="17" t="str">
        <x:v>单元/契约/隔离MySQL与HTTP/端侧或跨端（按相关性执行）</x:v>
      </x:c>
      <x:c r="G54" s="17" t="str">
        <x:v>NOT_EXECUTED</x:v>
      </x:c>
      <x:c r="H54" s="17"/>
      <x:c r="I54" s="17"/>
    </x:row>
    <x:row r="55" ht="100" customHeight="1">
      <x:c r="A55" s="17" t="str">
        <x:v>ACC-DEL-12.03</x:v>
      </x:c>
      <x:c r="B55" s="17" t="str">
        <x:v>DEL-12.03</x:v>
      </x:c>
      <x:c r="C55" s="17" t="str">
        <x:v>风控与归档</x:v>
      </x:c>
      <x:c r="D55" s="17" t="str">
        <x:v>按本条对象构造本人、他人、缺证据、重复请求及旧版本测试资料；真实收费禁用</x:v>
      </x:c>
      <x:c r="E55" s="17" t="str">
        <x:v>敏感内容留审计，纠纷冻结按规则，清分后只读归档。；不得为了消息删库泄露审核内容或允许越权客服。</x:v>
      </x:c>
      <x:c r="F55" s="17" t="str">
        <x:v>单元/契约/隔离MySQL与HTTP/端侧或跨端（按相关性执行）</x:v>
      </x:c>
      <x:c r="G55" s="17" t="str">
        <x:v>NOT_EXECUTED</x:v>
      </x:c>
      <x:c r="H55" s="17"/>
      <x:c r="I55" s="17"/>
    </x:row>
    <x:row r="56" ht="100" customHeight="1">
      <x:c r="A56" s="17" t="str">
        <x:v>ACC-DEL-12.04</x:v>
      </x:c>
      <x:c r="B56" s="17" t="str">
        <x:v>DEL-12.04</x:v>
      </x:c>
      <x:c r="C56" s="17" t="str">
        <x:v>通知复用</x:v>
      </x:c>
      <x:c r="D56" s="17" t="str">
        <x:v>按本条对象构造本人、他人、缺证据、重复请求及旧版本测试资料；真实收费禁用</x:v>
      </x:c>
      <x:c r="E56" s="17" t="str">
        <x:v>继续系统通知与对象留言历史；新会话使用独立权限。；有通知测试通过不能计为双向会话完成。</x:v>
      </x:c>
      <x:c r="F56" s="17" t="str">
        <x:v>单元/契约/隔离MySQL与HTTP/端侧或跨端（按相关性执行）</x:v>
      </x:c>
      <x:c r="G56" s="17" t="str">
        <x:v>NOT_EXECUTED</x:v>
      </x:c>
      <x:c r="H56" s="17"/>
      <x:c r="I56" s="17"/>
    </x:row>
    <x:row r="57" ht="100" customHeight="1">
      <x:c r="A57" s="17" t="str">
        <x:v>ACC-DEL-13.01</x:v>
      </x:c>
      <x:c r="B57" s="17" t="str">
        <x:v>DEL-13.01</x:v>
      </x:c>
      <x:c r="C57" s="17" t="str">
        <x:v>停新不删旧</x:v>
      </x:c>
      <x:c r="D57" s="17" t="str">
        <x:v>按本条对象构造本人、他人、缺证据、重复请求及旧版本测试资料；真实收费禁用</x:v>
      </x:c>
      <x:c r="E57" s="17" t="str">
        <x:v>作者自助本期不开放，作者角色和历史资料保留。；不能用前台隐藏代替服务端停止新投稿。</x:v>
      </x:c>
      <x:c r="F57" s="17" t="str">
        <x:v>单元/契约/隔离MySQL与HTTP/端侧或跨端（按相关性执行）</x:v>
      </x:c>
      <x:c r="G57" s="17" t="str">
        <x:v>NOT_EXECUTED</x:v>
      </x:c>
      <x:c r="H57" s="17"/>
      <x:c r="I57" s="17"/>
    </x:row>
    <x:row r="58" ht="100" customHeight="1">
      <x:c r="A58" s="17" t="str">
        <x:v>ACC-DEL-13.02</x:v>
      </x:c>
      <x:c r="B58" s="17" t="str">
        <x:v>DEL-13.02</x:v>
      </x:c>
      <x:c r="C58" s="17" t="str">
        <x:v>商务入库</x:v>
      </x:c>
      <x:c r="D58" s="17" t="str">
        <x:v>按本条对象构造本人、他人、缺证据、重复请求及旧版本测试资料；真实收费禁用</x:v>
      </x:c>
      <x:c r="E58" s="17" t="str">
        <x:v>运营按有效岗位代录供稿和真实权利证据。；代上传不等于代签、自动确权。</x:v>
      </x:c>
      <x:c r="F58" s="17" t="str">
        <x:v>单元/契约/隔离MySQL与HTTP/端侧或跨端（按相关性执行）</x:v>
      </x:c>
      <x:c r="G58" s="17" t="str">
        <x:v>NOT_EXECUTED</x:v>
      </x:c>
      <x:c r="H58" s="17"/>
      <x:c r="I58" s="17"/>
    </x:row>
    <x:row r="59" ht="100" customHeight="1">
      <x:c r="A59" s="17" t="str">
        <x:v>ACC-DEL-13.03</x:v>
      </x:c>
      <x:c r="B59" s="17" t="str">
        <x:v>DEL-13.03</x:v>
      </x:c>
      <x:c r="C59" s="17" t="str">
        <x:v>版本用途</x:v>
      </x:c>
      <x:c r="D59" s="17" t="str">
        <x:v>按本条对象构造本人、他人、缺证据、重复请求及旧版本测试资料；真实收费禁用</x:v>
      </x:c>
      <x:c r="E59" s="17" t="str">
        <x:v>本次制作引用确定稿本和许可，不永久绑定某数字人。；新稿不覆盖已用旧版本。</x:v>
      </x:c>
      <x:c r="F59" s="17" t="str">
        <x:v>单元/契约/隔离MySQL与HTTP/端侧或跨端（按相关性执行）</x:v>
      </x:c>
      <x:c r="G59" s="17" t="str">
        <x:v>NOT_EXECUTED</x:v>
      </x:c>
      <x:c r="H59" s="17"/>
      <x:c r="I59" s="17"/>
    </x:row>
    <x:row r="60" ht="100" customHeight="1">
      <x:c r="A60" s="17" t="str">
        <x:v>ACC-DEL-13.04</x:v>
      </x:c>
      <x:c r="B60" s="17" t="str">
        <x:v>DEL-13.04</x:v>
      </x:c>
      <x:c r="C60" s="17" t="str">
        <x:v>非标权限</x:v>
      </x:c>
      <x:c r="D60" s="17" t="str">
        <x:v>按本条对象构造本人、他人、缺证据、重复请求及旧版本测试资料；真实收费禁用</x:v>
      </x:c>
      <x:c r="E60" s="17" t="str">
        <x:v>本期不另建固定档版权商城；按报价/合同记录独家与用途。；不得把现货视频许可和剧本影视化许可混成一类。</x:v>
      </x:c>
      <x:c r="F60" s="17" t="str">
        <x:v>单元/契约/隔离MySQL与HTTP/端侧或跨端（按相关性执行）</x:v>
      </x:c>
      <x:c r="G60" s="17" t="str">
        <x:v>NOT_EXECUTED</x:v>
      </x:c>
      <x:c r="H60" s="17"/>
      <x:c r="I60" s="17"/>
    </x:row>
    <x:row r="61" ht="100" customHeight="1">
      <x:c r="A61" s="17" t="str">
        <x:v>ACC-DEL-14.01</x:v>
      </x:c>
      <x:c r="B61" s="17" t="str">
        <x:v>DEL-14.01</x:v>
      </x:c>
      <x:c r="C61" s="17" t="str">
        <x:v>按品类动态</x:v>
      </x:c>
      <x:c r="D61" s="17" t="str">
        <x:v>按本条对象构造本人、他人、缺证据、重复请求及旧版本测试资料；真实收费禁用</x:v>
      </x:c>
      <x:c r="E61" s="17" t="str">
        <x:v>不同品类显示对应字段和校验，不仅改标题。；空白必填字段不得回退旧值并显示提交成功。</x:v>
      </x:c>
      <x:c r="F61" s="17" t="str">
        <x:v>单元/契约/隔离MySQL与HTTP/端侧或跨端（按相关性执行）</x:v>
      </x:c>
      <x:c r="G61" s="17" t="str">
        <x:v>NOT_EXECUTED</x:v>
      </x:c>
      <x:c r="H61" s="17"/>
      <x:c r="I61" s="17"/>
    </x:row>
    <x:row r="62" ht="100" customHeight="1">
      <x:c r="A62" s="17" t="str">
        <x:v>ACC-DEL-14.02</x:v>
      </x:c>
      <x:c r="B62" s="17" t="str">
        <x:v>DEL-14.02</x:v>
      </x:c>
      <x:c r="C62" s="17" t="str">
        <x:v>草稿及补件</x:v>
      </x:c>
      <x:c r="D62" s="17" t="str">
        <x:v>按本条对象构造本人、他人、缺证据、重复请求及旧版本测试资料；真实收费禁用</x:v>
      </x:c>
      <x:c r="E62" s="17" t="str">
        <x:v>刷新恢复本人草稿；正式版本和后续补充分别记录。；后台模板改动不悄悄改已提交故事。</x:v>
      </x:c>
      <x:c r="F62" s="17" t="str">
        <x:v>单元/契约/隔离MySQL与HTTP/端侧或跨端（按相关性执行）</x:v>
      </x:c>
      <x:c r="G62" s="17" t="str">
        <x:v>NOT_EXECUTED</x:v>
      </x:c>
      <x:c r="H62" s="17"/>
      <x:c r="I62" s="17"/>
    </x:row>
    <x:row r="63" ht="100" customHeight="1">
      <x:c r="A63" s="17" t="str">
        <x:v>ACC-DEL-14.03</x:v>
      </x:c>
      <x:c r="B63" s="17" t="str">
        <x:v>DEL-14.03</x:v>
      </x:c>
      <x:c r="C63" s="17" t="str">
        <x:v>隐私关系</x:v>
      </x:c>
      <x:c r="D63" s="17" t="str">
        <x:v>按本条对象构造本人、他人、缺证据、重复请求及旧版本测试资料；真实收费禁用</x:v>
      </x:c>
      <x:c r="E63" s="17" t="str">
        <x:v>参与人和关系资料按本次制作目的收集。；“平台拥有关系图”不自动允许营销或无限复用。</x:v>
      </x:c>
      <x:c r="F63" s="17" t="str">
        <x:v>单元/契约/隔离MySQL与HTTP/端侧或跨端（按相关性执行）</x:v>
      </x:c>
      <x:c r="G63" s="17" t="str">
        <x:v>NOT_EXECUTED</x:v>
      </x:c>
      <x:c r="H63" s="17"/>
      <x:c r="I63" s="17"/>
    </x:row>
    <x:row r="64" ht="100" customHeight="1">
      <x:c r="A64" s="17" t="str">
        <x:v>ACC-DEL-14.04</x:v>
      </x:c>
      <x:c r="B64" s="17" t="str">
        <x:v>DEL-14.04</x:v>
      </x:c>
      <x:c r="C64" s="17" t="str">
        <x:v>需求不等付款</x:v>
      </x:c>
      <x:c r="D64" s="17" t="str">
        <x:v>按本条对象构造本人、他人、缺证据、重复请求及旧版本测试资料；真实收费禁用</x:v>
      </x:c>
      <x:c r="E64" s="17" t="str">
        <x:v>提交生成待受理工单/需求，报价及订单另关联。；不因提交故事而标已付款或承诺已经开拍。</x:v>
      </x:c>
      <x:c r="F64" s="17" t="str">
        <x:v>单元/契约/隔离MySQL与HTTP/端侧或跨端（按相关性执行）</x:v>
      </x:c>
      <x:c r="G64" s="17" t="str">
        <x:v>NOT_EXECUTED</x:v>
      </x:c>
      <x:c r="H64" s="17"/>
      <x:c r="I64" s="17"/>
    </x:row>
    <x:row r="65" ht="100" customHeight="1">
      <x:c r="A65" s="17" t="str">
        <x:v>ACC-DEL-15.01</x:v>
      </x:c>
      <x:c r="B65" s="17" t="str">
        <x:v>DEL-15.01</x:v>
      </x:c>
      <x:c r="C65" s="17" t="str">
        <x:v>生产边界</x:v>
      </x:c>
      <x:c r="D65" s="17" t="str">
        <x:v>按本条对象构造本人、他人、缺证据、重复请求及旧版本测试资料；真实收费禁用</x:v>
      </x:c>
      <x:c r="E65" s="17" t="str">
        <x:v>复杂视频由真人团队承制；内部工具不暴露为用户自助深度生成。；不得恢复用户算力包/时长包/一键成片。</x:v>
      </x:c>
      <x:c r="F65" s="17" t="str">
        <x:v>单元/契约/隔离MySQL与HTTP/端侧或跨端（按相关性执行）</x:v>
      </x:c>
      <x:c r="G65" s="17" t="str">
        <x:v>NOT_EXECUTED</x:v>
      </x:c>
      <x:c r="H65" s="17"/>
      <x:c r="I65" s="17"/>
    </x:row>
    <x:row r="66" ht="100" customHeight="1">
      <x:c r="A66" s="17" t="str">
        <x:v>ACC-DEL-15.02</x:v>
      </x:c>
      <x:c r="B66" s="17" t="str">
        <x:v>DEL-15.02</x:v>
      </x:c>
      <x:c r="C66" s="17" t="str">
        <x:v>复用制作核心</x:v>
      </x:c>
      <x:c r="D66" s="17" t="str">
        <x:v>按本条对象构造本人、他人、缺证据、重复请求及旧版本测试资料；真实收费禁用</x:v>
      </x:c>
      <x:c r="E66" s="17" t="str">
        <x:v>订单行、受派人、权利审查、版本、反馈和下载沿用。；新的custom_order只是扩展/映射，不重复记账。</x:v>
      </x:c>
      <x:c r="F66" s="17" t="str">
        <x:v>单元/契约/隔离MySQL与HTTP/端侧或跨端（按相关性执行）</x:v>
      </x:c>
      <x:c r="G66" s="17" t="str">
        <x:v>NOT_EXECUTED</x:v>
      </x:c>
      <x:c r="H66" s="17"/>
      <x:c r="I66" s="17"/>
    </x:row>
    <x:row r="67" ht="100" customHeight="1">
      <x:c r="A67" s="17" t="str">
        <x:v>ACC-DEL-15.03</x:v>
      </x:c>
      <x:c r="B67" s="17" t="str">
        <x:v>DEL-15.03</x:v>
      </x:c>
      <x:c r="C67" s="17" t="str">
        <x:v>关键节点</x:v>
      </x:c>
      <x:c r="D67" s="17" t="str">
        <x:v>按本条对象构造本人、他人、缺证据、重复请求及旧版本测试资料；真实收费禁用</x:v>
      </x:c>
      <x:c r="E67" s="17" t="str">
        <x:v>报价/授权/首款完成后开工；预览确认、累计90%、尾款10%与最终验收分别留痕。；客户确认样片不自动最终验收；大变更使受影响确认失效。</x:v>
      </x:c>
      <x:c r="F67" s="17" t="str">
        <x:v>单元/契约/隔离MySQL与HTTP/端侧或跨端（按相关性执行）</x:v>
      </x:c>
      <x:c r="G67" s="17" t="str">
        <x:v>NOT_EXECUTED</x:v>
      </x:c>
      <x:c r="H67" s="17"/>
      <x:c r="I67" s="17"/>
    </x:row>
    <x:row r="68" ht="100" customHeight="1">
      <x:c r="A68" s="17" t="str">
        <x:v>ACC-DEL-15.04</x:v>
      </x:c>
      <x:c r="B68" s="17" t="str">
        <x:v>DEL-15.04</x:v>
      </x:c>
      <x:c r="C68" s="17" t="str">
        <x:v>交付与返修</x:v>
      </x:c>
      <x:c r="D68" s="17" t="str">
        <x:v>按本条对象构造本人、他人、缺证据、重复请求及旧版本测试资料；真实收费禁用</x:v>
      </x:c>
      <x:c r="E68" s="17" t="str">
        <x:v>正式文件与内部稿分开，修改/错误纠正、延期售后可追踪。；未实现外部服务只显示待条件，不生成虚假正式成片。</x:v>
      </x:c>
      <x:c r="F68" s="17" t="str">
        <x:v>单元/契约/隔离MySQL与HTTP/端侧或跨端（按相关性执行）</x:v>
      </x:c>
      <x:c r="G68" s="17" t="str">
        <x:v>NOT_EXECUTED</x:v>
      </x:c>
      <x:c r="H68" s="17"/>
      <x:c r="I68" s="17"/>
    </x:row>
    <x:row r="69" ht="100" customHeight="1">
      <x:c r="A69" s="17" t="str">
        <x:v>ACC-DEL-16.01</x:v>
      </x:c>
      <x:c r="B69" s="17" t="str">
        <x:v>DEL-16.01</x:v>
      </x:c>
      <x:c r="C69" s="17" t="str">
        <x:v>一人多角色去重</x:v>
      </x:c>
      <x:c r="D69" s="17" t="str">
        <x:v>按本条对象构造本人、他人、缺证据、重复请求及旧版本测试资料；真实收费禁用</x:v>
      </x:c>
      <x:c r="E69" s="17" t="str">
        <x:v>发起人整包付款；按不同真实权利人计数。；同人创建第2个数字人不能把9人变10人。</x:v>
      </x:c>
      <x:c r="F69" s="17" t="str">
        <x:v>单元/契约/隔离MySQL与HTTP/端侧或跨端（按相关性执行）</x:v>
      </x:c>
      <x:c r="G69" s="17" t="str">
        <x:v>NOT_EXECUTED</x:v>
      </x:c>
      <x:c r="H69" s="17"/>
      <x:c r="I69" s="17"/>
    </x:row>
    <x:row r="70" ht="100" customHeight="1">
      <x:c r="A70" s="17" t="str">
        <x:v>ACC-DEL-16.02</x:v>
      </x:c>
      <x:c r="B70" s="17" t="str">
        <x:v>DEL-16.02</x:v>
      </x:c>
      <x:c r="C70" s="17" t="str">
        <x:v>人数与开工</x:v>
      </x:c>
      <x:c r="D70" s="17" t="str">
        <x:v>按本条对象构造本人、他人、缺证据、重复请求及旧版本测试资料；真实收费禁用</x:v>
      </x:c>
      <x:c r="E70" s="17" t="str">
        <x:v>10人只是人数门槛，付款/授权/资料齐备再申请开工。；人数够但许可缺失不得自动制作。</x:v>
      </x:c>
      <x:c r="F70" s="17" t="str">
        <x:v>单元/契约/隔离MySQL与HTTP/端侧或跨端（按相关性执行）</x:v>
      </x:c>
      <x:c r="G70" s="17" t="str">
        <x:v>NOT_EXECUTED</x:v>
      </x:c>
      <x:c r="H70" s="17"/>
      <x:c r="I70" s="17"/>
    </x:row>
    <x:row r="71" ht="100" customHeight="1">
      <x:c r="A71" s="17" t="str">
        <x:v>ACC-DEL-16.03</x:v>
      </x:c>
      <x:c r="B71" s="17" t="str">
        <x:v>DEL-16.03</x:v>
      </x:c>
      <x:c r="C71" s="17" t="str">
        <x:v>20人权益</x:v>
      </x:c>
      <x:c r="D71" s="17" t="str">
        <x:v>按本条对象构造本人、他人、缺证据、重复请求及旧版本测试资料；真实收费禁用</x:v>
      </x:c>
      <x:c r="E71" s="17" t="str">
        <x:v>免发起人个人参与费，非全单免费、非现金；锁定时点待规则。；退出后重新评估未锁权益，不改已确认历史承诺。</x:v>
      </x:c>
      <x:c r="F71" s="17" t="str">
        <x:v>单元/契约/隔离MySQL与HTTP/端侧或跨端（按相关性执行）</x:v>
      </x:c>
      <x:c r="G71" s="17" t="str">
        <x:v>NOT_EXECUTED</x:v>
      </x:c>
      <x:c r="H71" s="17"/>
      <x:c r="I71" s="17"/>
    </x:row>
    <x:row r="72" ht="100" customHeight="1">
      <x:c r="A72" s="17" t="str">
        <x:v>ACC-DEL-16.04</x:v>
      </x:c>
      <x:c r="B72" s="17" t="str">
        <x:v>DEL-16.04</x:v>
      </x:c>
      <x:c r="C72" s="17" t="str">
        <x:v>失败和退出</x:v>
      </x:c>
      <x:c r="D72" s="17" t="str">
        <x:v>按本条对象构造本人、他人、缺证据、重复请求及旧版本测试资料；真实收费禁用</x:v>
      </x:c>
      <x:c r="E72" s="17" t="str">
        <x:v>未达10人延期或退款，开工后撤回暂停受影响部分；个人片段单独授权。；成员不能读取他人的私人故事或未经授权下载完整素材。</x:v>
      </x:c>
      <x:c r="F72" s="17" t="str">
        <x:v>单元/契约/隔离MySQL与HTTP/端侧或跨端（按相关性执行）</x:v>
      </x:c>
      <x:c r="G72" s="17" t="str">
        <x:v>NOT_EXECUTED</x:v>
      </x:c>
      <x:c r="H72" s="17"/>
      <x:c r="I72" s="17"/>
    </x:row>
    <x:row r="73" ht="100" customHeight="1">
      <x:c r="A73" s="17" t="str">
        <x:v>ACC-DEL-17.01</x:v>
      </x:c>
      <x:c r="B73" s="17" t="str">
        <x:v>DEL-17.01</x:v>
      </x:c>
      <x:c r="C73" s="17" t="str">
        <x:v>四类余额分开</x:v>
      </x:c>
      <x:c r="D73" s="17" t="str">
        <x:v>按本条对象构造本人、他人、缺证据、重复请求及旧版本测试资料；真实收费禁用</x:v>
      </x:c>
      <x:c r="E73" s="17" t="str">
        <x:v>现金储值、供应方应付、可用晶钻、制作券分别展示。；不得用应付账当消费者钱包。</x:v>
      </x:c>
      <x:c r="F73" s="17" t="str">
        <x:v>单元/契约/隔离MySQL与HTTP/端侧或跨端（按相关性执行）</x:v>
      </x:c>
      <x:c r="G73" s="17" t="str">
        <x:v>NOT_EXECUTED</x:v>
      </x:c>
      <x:c r="H73" s="17"/>
      <x:c r="I73" s="17"/>
    </x:row>
    <x:row r="74" ht="100" customHeight="1">
      <x:c r="A74" s="17" t="str">
        <x:v>ACC-DEL-17.02</x:v>
      </x:c>
      <x:c r="B74" s="17" t="str">
        <x:v>DEL-17.02</x:v>
      </x:c>
      <x:c r="C74" s="17" t="str">
        <x:v>充值与消费</x:v>
      </x:c>
      <x:c r="D74" s="17" t="str">
        <x:v>按本条对象构造本人、他人、缺证据、重复请求及旧版本测试资料；真实收费禁用</x:v>
      </x:c>
      <x:c r="E74" s="17" t="str">
        <x:v>充值成功仅增可消费余额，未消费不发晶钻。；余额消费不得再次计一笔充值或重复确认收入。</x:v>
      </x:c>
      <x:c r="F74" s="17" t="str">
        <x:v>单元/契约/隔离MySQL与HTTP/端侧或跨端（按相关性执行）</x:v>
      </x:c>
      <x:c r="G74" s="17" t="str">
        <x:v>NOT_EXECUTED</x:v>
      </x:c>
      <x:c r="H74" s="17"/>
      <x:c r="I74" s="17"/>
    </x:row>
    <x:row r="75" ht="100" customHeight="1">
      <x:c r="A75" s="17" t="str">
        <x:v>ACC-DEL-17.03</x:v>
      </x:c>
      <x:c r="B75" s="17" t="str">
        <x:v>DEL-17.03</x:v>
      </x:c>
      <x:c r="C75" s="17" t="str">
        <x:v>会员年</x:v>
      </x:c>
      <x:c r="D75" s="17" t="str">
        <x:v>按本条对象构造本人、他人、缺证据、重复请求及旧版本测试资料；真实收费禁用</x:v>
      </x:c>
      <x:c r="E75" s="17" t="str">
        <x:v>300资格/续期、到期冻结、等级保留和恢复按独立期间。；首次达标不能同次无限续多年；未定边界只阻塞该策略。</x:v>
      </x:c>
      <x:c r="F75" s="17" t="str">
        <x:v>单元/契约/隔离MySQL与HTTP/端侧或跨端（按相关性执行）</x:v>
      </x:c>
      <x:c r="G75" s="17" t="str">
        <x:v>NOT_EXECUTED</x:v>
      </x:c>
      <x:c r="H75" s="17"/>
      <x:c r="I75" s="17"/>
    </x:row>
    <x:row r="76" ht="100" customHeight="1">
      <x:c r="A76" s="17" t="str">
        <x:v>ACC-DEL-17.04</x:v>
      </x:c>
      <x:c r="B76" s="17" t="str">
        <x:v>DEL-17.04</x:v>
      </x:c>
      <x:c r="C76" s="17" t="str">
        <x:v>退款与限额</x:v>
      </x:c>
      <x:c r="D76" s="17" t="str">
        <x:v>按本条对象构造本人、他人、缺证据、重复请求及旧版本测试资料；真实收费禁用</x:v>
      </x:c>
      <x:c r="E76" s="17" t="str">
        <x:v>退款来源拆分、误充、限额和冷静期，通道能力待验。；不可提现说明不等于可以拒绝依法应处理的退款。</x:v>
      </x:c>
      <x:c r="F76" s="17" t="str">
        <x:v>单元/契约/隔离MySQL与HTTP/端侧或跨端（按相关性执行）</x:v>
      </x:c>
      <x:c r="G76" s="17" t="str">
        <x:v>NOT_EXECUTED</x:v>
      </x:c>
      <x:c r="H76" s="17"/>
      <x:c r="I76" s="17"/>
    </x:row>
    <x:row r="77" ht="100" customHeight="1">
      <x:c r="A77" s="17" t="str">
        <x:v>ACC-DEL-18.01</x:v>
      </x:c>
      <x:c r="B77" s="17" t="str">
        <x:v>DEL-18.01</x:v>
      </x:c>
      <x:c r="C77" s="17" t="str">
        <x:v>事件唯一</x:v>
      </x:c>
      <x:c r="D77" s="17" t="str">
        <x:v>按本条对象构造本人、他人、缺证据、重复请求及旧版本测试资料；真实收费禁用</x:v>
      </x:c>
      <x:c r="E77" s="17" t="str">
        <x:v>每笔合格成交只发一次积分，免费奖励独立来源。；重复通知不得重复发分；充值事件不发分。</x:v>
      </x:c>
      <x:c r="F77" s="17" t="str">
        <x:v>单元/契约/隔离MySQL与HTTP/端侧或跨端（按相关性执行）</x:v>
      </x:c>
      <x:c r="G77" s="17" t="str">
        <x:v>NOT_EXECUTED</x:v>
      </x:c>
      <x:c r="H77" s="17"/>
      <x:c r="I77" s="17"/>
    </x:row>
    <x:row r="78" ht="100" customHeight="1">
      <x:c r="A78" s="17" t="str">
        <x:v>ACC-DEL-18.02</x:v>
      </x:c>
      <x:c r="B78" s="17" t="str">
        <x:v>DEL-18.02</x:v>
      </x:c>
      <x:c r="C78" s="17" t="str">
        <x:v>可用与成长</x:v>
      </x:c>
      <x:c r="D78" s="17" t="str">
        <x:v>按本条对象构造本人、他人、缺证据、重复请求及旧版本测试资料；真实收费禁用</x:v>
      </x:c>
      <x:c r="E78" s="17" t="str">
        <x:v>花积分不降累计等级；哪些赠分计成长按裁决。；不得因为叫“只有一套晶钻”就共用一个可变余额字段。</x:v>
      </x:c>
      <x:c r="F78" s="17" t="str">
        <x:v>单元/契约/隔离MySQL与HTTP/端侧或跨端（按相关性执行）</x:v>
      </x:c>
      <x:c r="G78" s="17" t="str">
        <x:v>NOT_EXECUTED</x:v>
      </x:c>
      <x:c r="H78" s="17"/>
      <x:c r="I78" s="17"/>
    </x:row>
    <x:row r="79" ht="100" customHeight="1">
      <x:c r="A79" s="17" t="str">
        <x:v>ACC-DEL-18.03</x:v>
      </x:c>
      <x:c r="B79" s="17" t="str">
        <x:v>DEL-18.03</x:v>
      </x:c>
      <x:c r="C79" s="17" t="str">
        <x:v>期限及来源</x:v>
      </x:c>
      <x:c r="D79" s="17" t="str">
        <x:v>按本条对象构造本人、他人、缺证据、重复请求及旧版本测试资料；真实收费禁用</x:v>
      </x:c>
      <x:c r="E79" s="17" t="str">
        <x:v>365天按来源批次执行；实际渠道限制另有标记。；不假设存在IAP购分SKU；不能将全部历史积分默认过期。</x:v>
      </x:c>
      <x:c r="F79" s="17" t="str">
        <x:v>单元/契约/隔离MySQL与HTTP/端侧或跨端（按相关性执行）</x:v>
      </x:c>
      <x:c r="G79" s="17" t="str">
        <x:v>NOT_EXECUTED</x:v>
      </x:c>
      <x:c r="H79" s="17"/>
      <x:c r="I79" s="17"/>
    </x:row>
    <x:row r="80" ht="100" customHeight="1">
      <x:c r="A80" s="17" t="str">
        <x:v>ACC-DEL-18.04</x:v>
      </x:c>
      <x:c r="B80" s="17" t="str">
        <x:v>DEL-18.04</x:v>
      </x:c>
      <x:c r="C80" s="17" t="str">
        <x:v>冲回与负债</x:v>
      </x:c>
      <x:c r="D80" s="17" t="str">
        <x:v>按本条对象构造本人、他人、缺证据、重复请求及旧版本测试资料；真实收费禁用</x:v>
      </x:c>
      <x:c r="E80" s="17" t="str">
        <x:v>退款/撤单冲回对应来源及成长，已花积分处理待规则。；不得直接把余额归零丢失历史原因。</x:v>
      </x:c>
      <x:c r="F80" s="17" t="str">
        <x:v>单元/契约/隔离MySQL与HTTP/端侧或跨端（按相关性执行）</x:v>
      </x:c>
      <x:c r="G80" s="17" t="str">
        <x:v>NOT_EXECUTED</x:v>
      </x:c>
      <x:c r="H80" s="17"/>
      <x:c r="I80" s="17"/>
    </x:row>
    <x:row r="81" ht="100" customHeight="1">
      <x:c r="A81" s="17" t="str">
        <x:v>ACC-DEL-19.01</x:v>
      </x:c>
      <x:c r="B81" s="17" t="str">
        <x:v>DEL-19.01</x:v>
      </x:c>
      <x:c r="C81" s="17" t="str">
        <x:v>三维分离</x:v>
      </x:c>
      <x:c r="D81" s="17" t="str">
        <x:v>按本条对象构造本人、他人、缺证据、重复请求及旧版本测试资料；真实收费禁用</x:v>
      </x:c>
      <x:c r="E81" s="17" t="str">
        <x:v>主角光环、接单成长、服务评分独立计算。；不能把付审核费直接当高服务评分。</x:v>
      </x:c>
      <x:c r="F81" s="17" t="str">
        <x:v>单元/契约/隔离MySQL与HTTP/端侧或跨端（按相关性执行）</x:v>
      </x:c>
      <x:c r="G81" s="17" t="str">
        <x:v>NOT_EXECUTED</x:v>
      </x:c>
      <x:c r="H81" s="17"/>
      <x:c r="I81" s="17"/>
    </x:row>
    <x:row r="82" ht="100" customHeight="1">
      <x:c r="A82" s="17" t="str">
        <x:v>ACC-DEL-19.02</x:v>
      </x:c>
      <x:c r="B82" s="17" t="str">
        <x:v>DEL-19.02</x:v>
      </x:c>
      <x:c r="C82" s="17" t="str">
        <x:v>城市与六榜</x:v>
      </x:c>
      <x:c r="D82" s="17" t="str">
        <x:v>按本条对象构造本人、他人、缺证据、重复请求及旧版本测试资料；真实收费禁用</x:v>
      </x:c>
      <x:c r="E82" s="17" t="str">
        <x:v>等级/新人/好评/销量/人气/复购及城市分区按正式规则。；数据不足显示真实不足，不伪造榜首。</x:v>
      </x:c>
      <x:c r="F82" s="17" t="str">
        <x:v>单元/契约/隔离MySQL与HTTP/端侧或跨端（按相关性执行）</x:v>
      </x:c>
      <x:c r="G82" s="17" t="str">
        <x:v>NOT_EXECUTED</x:v>
      </x:c>
      <x:c r="H82" s="17"/>
      <x:c r="I82" s="17"/>
    </x:row>
    <x:row r="83" ht="100" customHeight="1">
      <x:c r="A83" s="17" t="str">
        <x:v>ACC-DEL-19.03</x:v>
      </x:c>
      <x:c r="B83" s="17" t="str">
        <x:v>DEL-19.03</x:v>
      </x:c>
      <x:c r="C83" s="17" t="str">
        <x:v>买家榜</x:v>
      </x:c>
      <x:c r="D83" s="17" t="str">
        <x:v>按本条对象构造本人、他人、缺证据、重复请求及旧版本测试资料；真实收费禁用</x:v>
      </x:c>
      <x:c r="E83" s="17" t="str">
        <x:v>按有效身份、城市和成长等规则生成可追溯快照。；免费赠分是否计等级待统一，不能各端计算不同。</x:v>
      </x:c>
      <x:c r="F83" s="17" t="str">
        <x:v>单元/契约/隔离MySQL与HTTP/端侧或跨端（按相关性执行）</x:v>
      </x:c>
      <x:c r="G83" s="17" t="str">
        <x:v>NOT_EXECUTED</x:v>
      </x:c>
      <x:c r="H83" s="17"/>
      <x:c r="I83" s="17"/>
    </x:row>
    <x:row r="84" ht="100" customHeight="1">
      <x:c r="A84" s="17" t="str">
        <x:v>ACC-DEL-19.04</x:v>
      </x:c>
      <x:c r="B84" s="17" t="str">
        <x:v>DEL-19.04</x:v>
      </x:c>
      <x:c r="C84" s="17" t="str">
        <x:v>推广预留</x:v>
      </x:c>
      <x:c r="D84" s="17" t="str">
        <x:v>按本条对象构造本人、他人、缺证据、重复请求及旧版本测试资料；真实收费禁用</x:v>
      </x:c>
      <x:c r="E84" s="17" t="str">
        <x:v>仅保留配置和结构，不上线购买投流/广告。；中奖曝光另作奖励权益兑现，不被误当未来付费广告删掉。</x:v>
      </x:c>
      <x:c r="F84" s="17" t="str">
        <x:v>单元/契约/隔离MySQL与HTTP/端侧或跨端（按相关性执行）</x:v>
      </x:c>
      <x:c r="G84" s="17" t="str">
        <x:v>NOT_EXECUTED</x:v>
      </x:c>
      <x:c r="H84" s="17"/>
      <x:c r="I84" s="17"/>
    </x:row>
    <x:row r="85" ht="100" customHeight="1">
      <x:c r="A85" s="17" t="str">
        <x:v>ACC-DEL-20.01</x:v>
      </x:c>
      <x:c r="B85" s="17" t="str">
        <x:v>DEL-20.01</x:v>
      </x:c>
      <x:c r="C85" s="17" t="str">
        <x:v>归因</x:v>
      </x:c>
      <x:c r="D85" s="17" t="str">
        <x:v>按本条对象构造本人、他人、缺证据、重复请求及旧版本测试资料；真实收费禁用</x:v>
      </x:c>
      <x:c r="E85" s="17" t="str">
        <x:v>直推一层、7天及末次规则有唯一命中和证据。；设备重试或多次点击不重复计佣。</x:v>
      </x:c>
      <x:c r="F85" s="17" t="str">
        <x:v>单元/契约/隔离MySQL与HTTP/端侧或跨端（按相关性执行）</x:v>
      </x:c>
      <x:c r="G85" s="17" t="str">
        <x:v>NOT_EXECUTED</x:v>
      </x:c>
      <x:c r="H85" s="17"/>
      <x:c r="I85" s="17"/>
    </x:row>
    <x:row r="86" ht="100" customHeight="1">
      <x:c r="A86" s="17" t="str">
        <x:v>ACC-DEL-20.02</x:v>
      </x:c>
      <x:c r="B86" s="17" t="str">
        <x:v>DEL-20.02</x:v>
      </x:c>
      <x:c r="C86" s="17" t="str">
        <x:v>费率</x:v>
      </x:c>
      <x:c r="D86" s="17" t="str">
        <x:v>按本条对象构造本人、他人、缺证据、重复请求及旧版本测试资料；真实收费禁用</x:v>
      </x:c>
      <x:c r="E86" s="17" t="str">
        <x:v>样片7.2%、商单6.6%从平台佣金列支；定制/共创10与10—15冲突待生效表。；不能挤占艺人/MCN本金来平衡返点。</x:v>
      </x:c>
      <x:c r="F86" s="17" t="str">
        <x:v>单元/契约/隔离MySQL与HTTP/端侧或跨端（按相关性执行）</x:v>
      </x:c>
      <x:c r="G86" s="17" t="str">
        <x:v>NOT_EXECUTED</x:v>
      </x:c>
      <x:c r="H86" s="17"/>
      <x:c r="I86" s="17"/>
    </x:row>
    <x:row r="87" ht="100" customHeight="1">
      <x:c r="A87" s="17" t="str">
        <x:v>ACC-DEL-20.03</x:v>
      </x:c>
      <x:c r="B87" s="17" t="str">
        <x:v>DEL-20.03</x:v>
      </x:c>
      <x:c r="C87" s="17" t="str">
        <x:v>结佣</x:v>
      </x:c>
      <x:c r="D87" s="17" t="str">
        <x:v>按本条对象构造本人、他人、缺证据、重复请求及旧版本测试资料；真实收费禁用</x:v>
      </x:c>
      <x:c r="E87" s="17" t="str">
        <x:v>售后结束且真实履约/支付成立后才可结佣。；无推荐人份额归平台，自购和虚假交易不返。</x:v>
      </x:c>
      <x:c r="F87" s="17" t="str">
        <x:v>单元/契约/隔离MySQL与HTTP/端侧或跨端（按相关性执行）</x:v>
      </x:c>
      <x:c r="G87" s="17" t="str">
        <x:v>NOT_EXECUTED</x:v>
      </x:c>
      <x:c r="H87" s="17"/>
      <x:c r="I87" s="17"/>
    </x:row>
    <x:row r="88" ht="100" customHeight="1">
      <x:c r="A88" s="17" t="str">
        <x:v>ACC-DEL-20.04</x:v>
      </x:c>
      <x:c r="B88" s="17" t="str">
        <x:v>DEL-20.04</x:v>
      </x:c>
      <x:c r="C88" s="17" t="str">
        <x:v>逆向</x:v>
      </x:c>
      <x:c r="D88" s="17" t="str">
        <x:v>按本条对象构造本人、他人、缺证据、重复请求及旧版本测试资料；真实收费禁用</x:v>
      </x:c>
      <x:c r="E88" s="17" t="str">
        <x:v>部分退款按原快照冲回；追偿和实际到账独立。；MCN管理关系改变不得改旧单推荐人。</x:v>
      </x:c>
      <x:c r="F88" s="17" t="str">
        <x:v>单元/契约/隔离MySQL与HTTP/端侧或跨端（按相关性执行）</x:v>
      </x:c>
      <x:c r="G88" s="17" t="str">
        <x:v>NOT_EXECUTED</x:v>
      </x:c>
      <x:c r="H88" s="17"/>
      <x:c r="I88" s="17"/>
    </x:row>
    <x:row r="89" ht="100" customHeight="1">
      <x:c r="A89" s="17" t="str">
        <x:v>ACC-DEL-21.01</x:v>
      </x:c>
      <x:c r="B89" s="17" t="str">
        <x:v>DEL-21.01</x:v>
      </x:c>
      <x:c r="C89" s="17" t="str">
        <x:v>奖项版本</x:v>
      </x:c>
      <x:c r="D89" s="17" t="str">
        <x:v>按本条对象构造本人、他人、缺证据、重复请求及旧版本测试资料；真实收费禁用</x:v>
      </x:c>
      <x:c r="E89" s="17" t="str">
        <x:v>12配置项中首期11启用按来源保留，概率和为100%。；不得将未启用项删成无历史记录。</x:v>
      </x:c>
      <x:c r="F89" s="17" t="str">
        <x:v>单元/契约/隔离MySQL与HTTP/端侧或跨端（按相关性执行）</x:v>
      </x:c>
      <x:c r="G89" s="17" t="str">
        <x:v>NOT_EXECUTED</x:v>
      </x:c>
      <x:c r="H89" s="17"/>
      <x:c r="I89" s="17"/>
    </x:row>
    <x:row r="90" ht="100" customHeight="1">
      <x:c r="A90" s="17" t="str">
        <x:v>ACC-DEL-21.02</x:v>
      </x:c>
      <x:c r="B90" s="17" t="str">
        <x:v>DEL-21.02</x:v>
      </x:c>
      <x:c r="C90" s="17" t="str">
        <x:v>300与2700</x:v>
      </x:c>
      <x:c r="D90" s="17" t="str">
        <x:v>按本条对象构造本人、他人、缺证据、重复请求及旧版本测试资料；真实收费禁用</x:v>
      </x:c>
      <x:c r="E90" s="17" t="str">
        <x:v>资格/余额检查、原子扣分及一次发奖；未知结果查单。；断网后不得第二次扣分重开奖。</x:v>
      </x:c>
      <x:c r="F90" s="17" t="str">
        <x:v>单元/契约/隔离MySQL与HTTP/端侧或跨端（按相关性执行）</x:v>
      </x:c>
      <x:c r="G90" s="17" t="str">
        <x:v>NOT_EXECUTED</x:v>
      </x:c>
      <x:c r="H90" s="17"/>
      <x:c r="I90" s="17"/>
    </x:row>
    <x:row r="91" ht="100" customHeight="1">
      <x:c r="A91" s="17" t="str">
        <x:v>ACC-DEL-21.03</x:v>
      </x:c>
      <x:c r="B91" s="17" t="str">
        <x:v>DEL-21.03</x:v>
      </x:c>
      <x:c r="C91" s="17" t="str">
        <x:v>十连保底</x:v>
      </x:c>
      <x:c r="D91" s="17" t="str">
        <x:v>按本条对象构造本人、他人、缺证据、重复请求及旧版本测试资料；真实收费禁用</x:v>
      </x:c>
      <x:c r="E91" s="17" t="str">
        <x:v>算法与保底后的有效概率/成本一致发布，选定后锁版本。；十次独立单抽不保证必中；未决算法不伪称生产可用。</x:v>
      </x:c>
      <x:c r="F91" s="17" t="str">
        <x:v>单元/契约/隔离MySQL与HTTP/端侧或跨端（按相关性执行）</x:v>
      </x:c>
      <x:c r="G91" s="17" t="str">
        <x:v>NOT_EXECUTED</x:v>
      </x:c>
      <x:c r="H91" s="17"/>
      <x:c r="I91" s="17"/>
    </x:row>
    <x:row r="92" ht="100" customHeight="1">
      <x:c r="A92" s="17" t="str">
        <x:v>ACC-DEL-21.04</x:v>
      </x:c>
      <x:c r="B92" s="17" t="str">
        <x:v>DEL-21.04</x:v>
      </x:c>
      <x:c r="C92" s="17" t="str">
        <x:v>真实奖品</x:v>
      </x:c>
      <x:c r="D92" s="17" t="str">
        <x:v>按本条对象构造本人、他人、缺证据、重复请求及旧版本测试资料；真实收费禁用</x:v>
      </x:c>
      <x:c r="E92" s="17" t="str">
        <x:v>面试卡/制作金/免单/曝光/晶钻等奖励有可履行批次和补救。；开出奖品不等于权益已经实际核销或履约。</x:v>
      </x:c>
      <x:c r="F92" s="17" t="str">
        <x:v>单元/契约/隔离MySQL与HTTP/端侧或跨端（按相关性执行）</x:v>
      </x:c>
      <x:c r="G92" s="17" t="str">
        <x:v>NOT_EXECUTED</x:v>
      </x:c>
      <x:c r="H92" s="17"/>
      <x:c r="I92" s="17"/>
    </x:row>
    <x:row r="93" ht="100" customHeight="1">
      <x:c r="A93" s="17" t="str">
        <x:v>ACC-DEL-22.01</x:v>
      </x:c>
      <x:c r="B93" s="17" t="str">
        <x:v>DEL-22.01</x:v>
      </x:c>
      <x:c r="C93" s="17" t="str">
        <x:v>固定兑换</x:v>
      </x:c>
      <x:c r="D93" s="17" t="str">
        <x:v>按本条对象构造本人、他人、缺证据、重复请求及旧版本测试资料；真实收费禁用</x:v>
      </x:c>
      <x:c r="E93" s="17" t="str">
        <x:v>50/100/200/500元制作金分别对应6000/12000/24000/60000晶钻。；兑换需原子扣分发券和幂等，不是抽奖结果页替代商城。</x:v>
      </x:c>
      <x:c r="F93" s="17" t="str">
        <x:v>单元/契约/隔离MySQL与HTTP/端侧或跨端（按相关性执行）</x:v>
      </x:c>
      <x:c r="G93" s="17" t="str">
        <x:v>NOT_EXECUTED</x:v>
      </x:c>
      <x:c r="H93" s="17"/>
      <x:c r="I93" s="17"/>
    </x:row>
    <x:row r="94" ht="100" customHeight="1">
      <x:c r="A94" s="17" t="str">
        <x:v>ACC-DEL-22.02</x:v>
      </x:c>
      <x:c r="B94" s="17" t="str">
        <x:v>DEL-22.02</x:v>
      </x:c>
      <x:c r="C94" s="17" t="str">
        <x:v>收银适用</x:v>
      </x:c>
      <x:c r="D94" s="17" t="str">
        <x:v>按本条对象构造本人、他人、缺证据、重复请求及旧版本测试资料；真实收费禁用</x:v>
      </x:c>
      <x:c r="E94" s="17" t="str">
        <x:v>1000/500/200/100/50券满3000/2000/1000/800/500，30天/本人/每单1券等按有效版本。；样片适用范围冲突未解，不靠客户端判断暗中上线。</x:v>
      </x:c>
      <x:c r="F94" s="17" t="str">
        <x:v>单元/契约/隔离MySQL与HTTP/端侧或跨端（按相关性执行）</x:v>
      </x:c>
      <x:c r="G94" s="17" t="str">
        <x:v>NOT_EXECUTED</x:v>
      </x:c>
      <x:c r="H94" s="17"/>
      <x:c r="I94" s="17"/>
    </x:row>
    <x:row r="95" ht="100" customHeight="1">
      <x:c r="A95" s="17" t="str">
        <x:v>ACC-DEL-22.03</x:v>
      </x:c>
      <x:c r="B95" s="17" t="str">
        <x:v>DEL-22.03</x:v>
      </x:c>
      <x:c r="C95" s="17" t="str">
        <x:v>锁券退款</x:v>
      </x:c>
      <x:c r="D95" s="17" t="str">
        <x:v>按本条对象构造本人、他人、缺证据、重复请求及旧版本测试资料；真实收费禁用</x:v>
      </x:c>
      <x:c r="E95" s="17" t="str">
        <x:v>支付失败释放，成功核销；退单/侵权/卖方违约分别按正式策略。；不得一刀切“退款不返”写死所有法律情形。</x:v>
      </x:c>
      <x:c r="F95" s="17" t="str">
        <x:v>单元/契约/隔离MySQL与HTTP/端侧或跨端（按相关性执行）</x:v>
      </x:c>
      <x:c r="G95" s="17" t="str">
        <x:v>NOT_EXECUTED</x:v>
      </x:c>
      <x:c r="H95" s="17"/>
      <x:c r="I95" s="17"/>
    </x:row>
    <x:row r="96" ht="100" customHeight="1">
      <x:c r="A96" s="17" t="str">
        <x:v>ACC-DEL-22.04</x:v>
      </x:c>
      <x:c r="B96" s="17" t="str">
        <x:v>DEL-22.04</x:v>
      </x:c>
      <x:c r="C96" s="17" t="str">
        <x:v>奖品履行</x:v>
      </x:c>
      <x:c r="D96" s="17" t="str">
        <x:v>按本条对象构造本人、他人、缺证据、重复请求及旧版本测试资料；真实收费禁用</x:v>
      </x:c>
      <x:c r="E96" s="17" t="str">
        <x:v>面试机会≠保证录用；曝光7天需位置、资产、城市、起止、补救。；无面试排期或无可公开资产时不能标已兑现。</x:v>
      </x:c>
      <x:c r="F96" s="17" t="str">
        <x:v>单元/契约/隔离MySQL与HTTP/端侧或跨端（按相关性执行）</x:v>
      </x:c>
      <x:c r="G96" s="17" t="str">
        <x:v>NOT_EXECUTED</x:v>
      </x:c>
      <x:c r="H96" s="17"/>
      <x:c r="I96" s="17"/>
    </x:row>
    <x:row r="97" ht="100" customHeight="1">
      <x:c r="A97" s="17" t="str">
        <x:v>ACC-DEL-23.01</x:v>
      </x:c>
      <x:c r="B97" s="17" t="str">
        <x:v>DEL-23.01</x:v>
      </x:c>
      <x:c r="C97" s="17" t="str">
        <x:v>隐私请求</x:v>
      </x:c>
      <x:c r="D97" s="17" t="str">
        <x:v>按本条对象构造本人、他人、缺证据、重复请求及旧版本测试资料；真实收费禁用</x:v>
      </x:c>
      <x:c r="E97" s="17" t="str">
        <x:v>查询/复制/更正/删除/注销各有请求状态、时限和结果。；未结订单不能无限期拒绝一切个人信息权利；按合理依据分类。</x:v>
      </x:c>
      <x:c r="F97" s="17" t="str">
        <x:v>单元/契约/隔离MySQL与HTTP/端侧或跨端（按相关性执行）</x:v>
      </x:c>
      <x:c r="G97" s="17" t="str">
        <x:v>NOT_EXECUTED</x:v>
      </x:c>
      <x:c r="H97" s="17"/>
      <x:c r="I97" s="17"/>
    </x:row>
    <x:row r="98" ht="100" customHeight="1">
      <x:c r="A98" s="17" t="str">
        <x:v>ACC-DEL-23.02</x:v>
      </x:c>
      <x:c r="B98" s="17" t="str">
        <x:v>DEL-23.02</x:v>
      </x:c>
      <x:c r="C98" s="17" t="str">
        <x:v>撤回实际影响</x:v>
      </x:c>
      <x:c r="D98" s="17" t="str">
        <x:v>按本条对象构造本人、他人、缺证据、重复请求及旧版本测试资料；真实收费禁用</x:v>
      </x:c>
      <x:c r="E98" s="17" t="str">
        <x:v>立即拦新增不被允许的使用，并记录下游处理结果。；发起供应商删除不等于供应商已删除；旧合同不兜底无限使用。</x:v>
      </x:c>
      <x:c r="F98" s="17" t="str">
        <x:v>单元/契约/隔离MySQL与HTTP/端侧或跨端（按相关性执行）</x:v>
      </x:c>
      <x:c r="G98" s="17" t="str">
        <x:v>NOT_EXECUTED</x:v>
      </x:c>
      <x:c r="H98" s="17"/>
      <x:c r="I98" s="17"/>
    </x:row>
    <x:row r="99" ht="100" customHeight="1">
      <x:c r="A99" s="17" t="str">
        <x:v>ACC-DEL-23.03</x:v>
      </x:c>
      <x:c r="B99" s="17" t="str">
        <x:v>DEL-23.03</x:v>
      </x:c>
      <x:c r="C99" s="17" t="str">
        <x:v>年龄与消费</x:v>
      </x:c>
      <x:c r="D99" s="17" t="str">
        <x:v>按本条对象构造本人、他人、缺证据、重复请求及旧版本测试资料；真实收费禁用</x:v>
      </x:c>
      <x:c r="E99" s="17" t="str">
        <x:v>未成年人限制、监护授权、误充原路退，单次/日/月限额及冷静期。；关闭青少年显示模式不绕过服务端年龄限制。</x:v>
      </x:c>
      <x:c r="F99" s="17" t="str">
        <x:v>单元/契约/隔离MySQL与HTTP/端侧或跨端（按相关性执行）</x:v>
      </x:c>
      <x:c r="G99" s="17" t="str">
        <x:v>NOT_EXECUTED</x:v>
      </x:c>
      <x:c r="H99" s="17"/>
      <x:c r="I99" s="17"/>
    </x:row>
    <x:row r="100" ht="100" customHeight="1">
      <x:c r="A100" s="17" t="str">
        <x:v>ACC-DEL-23.04</x:v>
      </x:c>
      <x:c r="B100" s="17" t="str">
        <x:v>DEL-23.04</x:v>
      </x:c>
      <x:c r="C100" s="17" t="str">
        <x:v>偏好与申诉</x:v>
      </x:c>
      <x:c r="D100" s="17" t="str">
        <x:v>按本条对象构造本人、他人、缺证据、重复请求及旧版本测试资料；真实收费禁用</x:v>
      </x:c>
      <x:c r="E100" s="17" t="str">
        <x:v>关闭个性化、推送退订、休息提醒、投诉响应/下架/恢复。；运营只点已解决不算完成通知、限制解除及证据链。</x:v>
      </x:c>
      <x:c r="F100" s="17" t="str">
        <x:v>单元/契约/隔离MySQL与HTTP/端侧或跨端（按相关性执行）</x:v>
      </x:c>
      <x:c r="G100" s="17" t="str">
        <x:v>NOT_EXECUTED</x:v>
      </x:c>
      <x:c r="H100" s="17"/>
      <x:c r="I100" s="17"/>
    </x:row>
    <x:row r="101" ht="100" customHeight="1">
      <x:c r="A101" s="17" t="str">
        <x:v>ACC-DEL-24.01</x:v>
      </x:c>
      <x:c r="B101" s="17" t="str">
        <x:v>DEL-24.01</x:v>
      </x:c>
      <x:c r="C101" s="17" t="str">
        <x:v>默认私有</x:v>
      </x:c>
      <x:c r="D101" s="17" t="str">
        <x:v>按本条对象构造本人、他人、缺证据、重复请求及旧版本测试资料；真实收费禁用</x:v>
      </x:c>
      <x:c r="E101" s="17" t="str">
        <x:v>真人/声音/合同/全本/故事附件默认私有，按对象权限访问。；下载失败不得降级public上传目录。</x:v>
      </x:c>
      <x:c r="F101" s="17" t="str">
        <x:v>单元/契约/隔离MySQL与HTTP/端侧或跨端（按相关性执行）</x:v>
      </x:c>
      <x:c r="G101" s="17" t="str">
        <x:v>NOT_EXECUTED</x:v>
      </x:c>
      <x:c r="H101" s="17"/>
      <x:c r="I101" s="17"/>
    </x:row>
    <x:row r="102" ht="100" customHeight="1">
      <x:c r="A102" s="17" t="str">
        <x:v>ACC-DEL-24.02</x:v>
      </x:c>
      <x:c r="B102" s="17" t="str">
        <x:v>DEL-24.02</x:v>
      </x:c>
      <x:c r="C102" s="17" t="str">
        <x:v>多模态审核</x:v>
      </x:c>
      <x:c r="D102" s="17" t="str">
        <x:v>按本条对象构造本人、他人、缺证据、重复请求及旧版本测试资料；真实收费禁用</x:v>
      </x:c>
      <x:c r="E102" s="17" t="str">
        <x:v>文本、图、音视频自动审核结果加人工复核。；审核未接入不得全量approved。</x:v>
      </x:c>
      <x:c r="F102" s="17" t="str">
        <x:v>单元/契约/隔离MySQL与HTTP/端侧或跨端（按相关性执行）</x:v>
      </x:c>
      <x:c r="G102" s="17" t="str">
        <x:v>NOT_EXECUTED</x:v>
      </x:c>
      <x:c r="H102" s="17"/>
      <x:c r="I102" s="17"/>
    </x:row>
    <x:row r="103" ht="100" customHeight="1">
      <x:c r="A103" s="17" t="str">
        <x:v>ACC-DEL-24.03</x:v>
      </x:c>
      <x:c r="B103" s="17" t="str">
        <x:v>DEL-24.03</x:v>
      </x:c>
      <x:c r="C103" s="17" t="str">
        <x:v>标识完整</x:v>
      </x:c>
      <x:c r="D103" s="17" t="str">
        <x:v>按本条对象构造本人、他人、缺证据、重复请求及旧版本测试资料；真实收费禁用</x:v>
      </x:c>
      <x:c r="E103" s="17" t="str">
        <x:v>商业预览水印与AI显隐标识分开、跨转码导出保留。；未嵌入标签不得返回成功，失败阻断对应公开交付。</x:v>
      </x:c>
      <x:c r="F103" s="17" t="str">
        <x:v>单元/契约/隔离MySQL与HTTP/端侧或跨端（按相关性执行）</x:v>
      </x:c>
      <x:c r="G103" s="17" t="str">
        <x:v>NOT_EXECUTED</x:v>
      </x:c>
      <x:c r="H103" s="17"/>
      <x:c r="I103" s="17"/>
    </x:row>
    <x:row r="104" ht="100" customHeight="1">
      <x:c r="A104" s="17" t="str">
        <x:v>ACC-DEL-24.04</x:v>
      </x:c>
      <x:c r="B104" s="17" t="str">
        <x:v>DEL-24.04</x:v>
      </x:c>
      <x:c r="C104" s="17" t="str">
        <x:v>治理证据</x:v>
      </x:c>
      <x:c r="D104" s="17" t="str">
        <x:v>按本条对象构造本人、他人、缺证据、重复请求及旧版本测试资料；真实收费禁用</x:v>
      </x:c>
      <x:c r="E104" s="17" t="str">
        <x:v>SDK名称版本用途政策、PIA和日志留存分项登记。；等保/备案条目须适用性实证，不由标签宣布已合规。</x:v>
      </x:c>
      <x:c r="F104" s="17" t="str">
        <x:v>单元/契约/隔离MySQL与HTTP/端侧或跨端（按相关性执行）</x:v>
      </x:c>
      <x:c r="G104" s="17" t="str">
        <x:v>NOT_EXECUTED</x:v>
      </x:c>
      <x:c r="H104" s="17"/>
      <x:c r="I104" s="17"/>
    </x:row>
    <x:row r="105" ht="100" customHeight="1">
      <x:c r="A105" s="17" t="str">
        <x:v>ACC-DEL-25.01</x:v>
      </x:c>
      <x:c r="B105" s="17" t="str">
        <x:v>DEL-25.01</x:v>
      </x:c>
      <x:c r="C105" s="17" t="str">
        <x:v>管理不所有</x:v>
      </x:c>
      <x:c r="D105" s="17" t="str">
        <x:v>按本条对象构造本人、他人、缺证据、重复请求及旧版本测试资料；真实收费禁用</x:v>
      </x:c>
      <x:c r="E105" s="17" t="str">
        <x:v>互认签约及具体授权；一个账号的多个员工不共用口令。；不因管理关系默认取得所有肖像和数据处理权。</x:v>
      </x:c>
      <x:c r="F105" s="17" t="str">
        <x:v>单元/契约/隔离MySQL与HTTP/端侧或跨端（按相关性执行）</x:v>
      </x:c>
      <x:c r="G105" s="17" t="str">
        <x:v>NOT_EXECUTED</x:v>
      </x:c>
      <x:c r="H105" s="17"/>
      <x:c r="I105" s="17"/>
    </x:row>
    <x:row r="106" ht="100" customHeight="1">
      <x:c r="A106" s="17" t="str">
        <x:v>ACC-DEL-25.02</x:v>
      </x:c>
      <x:c r="B106" s="17" t="str">
        <x:v>DEL-25.02</x:v>
      </x:c>
      <x:c r="C106" s="17" t="str">
        <x:v>批量经营</x:v>
      </x:c>
      <x:c r="D106" s="17" t="str">
        <x:v>按本条对象构造本人、他人、缺证据、重复请求及旧版本测试资料；真实收费禁用</x:v>
      </x:c>
      <x:c r="E106" s="17" t="str">
        <x:v>多艺人资料上架、审核提交、价格和订单分派。；仅授权范围内批量修改，越权部分返回明细不静默成功。</x:v>
      </x:c>
      <x:c r="F106" s="17" t="str">
        <x:v>单元/契约/隔离MySQL与HTTP/端侧或跨端（按相关性执行）</x:v>
      </x:c>
      <x:c r="G106" s="17" t="str">
        <x:v>NOT_EXECUTED</x:v>
      </x:c>
      <x:c r="H106" s="17"/>
      <x:c r="I106" s="17"/>
    </x:row>
    <x:row r="107" ht="100" customHeight="1">
      <x:c r="A107" s="17" t="str">
        <x:v>ACC-DEL-25.03</x:v>
      </x:c>
      <x:c r="B107" s="17" t="str">
        <x:v>DEL-25.03</x:v>
      </x:c>
      <x:c r="C107" s="17" t="str">
        <x:v>解除与历史</x:v>
      </x:c>
      <x:c r="D107" s="17" t="str">
        <x:v>按本条对象构造本人、他人、缺证据、重复请求及旧版本测试资料；真实收费禁用</x:v>
      </x:c>
      <x:c r="E107" s="17" t="str">
        <x:v>新业务终止分成，旧未清分按原约。；解约不转移数字人资产、不删旧合同。</x:v>
      </x:c>
      <x:c r="F107" s="17" t="str">
        <x:v>单元/契约/隔离MySQL与HTTP/端侧或跨端（按相关性执行）</x:v>
      </x:c>
      <x:c r="G107" s="17" t="str">
        <x:v>NOT_EXECUTED</x:v>
      </x:c>
      <x:c r="H107" s="17"/>
      <x:c r="I107" s="17"/>
    </x:row>
    <x:row r="108" ht="100" customHeight="1">
      <x:c r="A108" s="17" t="str">
        <x:v>ACC-DEL-25.04</x:v>
      </x:c>
      <x:c r="B108" s="17" t="str">
        <x:v>DEL-25.04</x:v>
      </x:c>
      <x:c r="C108" s="17" t="str">
        <x:v>经营看板</x:v>
      </x:c>
      <x:c r="D108" s="17" t="str">
        <x:v>按本条对象构造本人、他人、缺证据、重复请求及旧版本测试资料；真实收费禁用</x:v>
      </x:c>
      <x:c r="E108" s="17" t="str">
        <x:v>按艺人、订单、期间展示应收/实收和接单结果。；多艺人同一订单不得把订单收入重复计入总额。</x:v>
      </x:c>
      <x:c r="F108" s="17" t="str">
        <x:v>单元/契约/隔离MySQL与HTTP/端侧或跨端（按相关性执行）</x:v>
      </x:c>
      <x:c r="G108" s="17" t="str">
        <x:v>NOT_EXECUTED</x:v>
      </x:c>
      <x:c r="H108" s="17"/>
      <x:c r="I108" s="17"/>
    </x:row>
    <x:row r="109" ht="100" customHeight="1">
      <x:c r="A109" s="17" t="str">
        <x:v>ACC-DEL-26.01</x:v>
      </x:c>
      <x:c r="B109" s="17" t="str">
        <x:v>DEL-26.01</x:v>
      </x:c>
      <x:c r="C109" s="17" t="str">
        <x:v>按职责待办</x:v>
      </x:c>
      <x:c r="D109" s="17" t="str">
        <x:v>按本条对象构造本人、他人、缺证据、重复请求及旧版本测试资料；真实收费禁用</x:v>
      </x:c>
      <x:c r="E109" s="17" t="str">
        <x:v>审核/制作/客服/财务/管理员各看职责工作。；代录不能代权利人签署或替客户验收。</x:v>
      </x:c>
      <x:c r="F109" s="17" t="str">
        <x:v>单元/契约/隔离MySQL与HTTP/端侧或跨端（按相关性执行）</x:v>
      </x:c>
      <x:c r="G109" s="17" t="str">
        <x:v>NOT_EXECUTED</x:v>
      </x:c>
      <x:c r="H109" s="17"/>
      <x:c r="I109" s="17"/>
    </x:row>
    <x:row r="110" ht="100" customHeight="1">
      <x:c r="A110" s="17" t="str">
        <x:v>ACC-DEL-26.02</x:v>
      </x:c>
      <x:c r="B110" s="17" t="str">
        <x:v>DEL-26.02</x:v>
      </x:c>
      <x:c r="C110" s="17" t="str">
        <x:v>配置发布</x:v>
      </x:c>
      <x:c r="D110" s="17" t="str">
        <x:v>按本条对象构造本人、他人、缺证据、重复请求及旧版本测试资料；真实收费禁用</x:v>
      </x:c>
      <x:c r="E110" s="17" t="str">
        <x:v>品类、采集卡、套餐、奖池、佣金等有草稿/审核/生效版本。；一般MCN不可配置全平台故事字段或中奖概率。</x:v>
      </x:c>
      <x:c r="F110" s="17" t="str">
        <x:v>单元/契约/隔离MySQL与HTTP/端侧或跨端（按相关性执行）</x:v>
      </x:c>
      <x:c r="G110" s="17" t="str">
        <x:v>NOT_EXECUTED</x:v>
      </x:c>
      <x:c r="H110" s="17"/>
      <x:c r="I110" s="17"/>
    </x:row>
    <x:row r="111" ht="100" customHeight="1">
      <x:c r="A111" s="17" t="str">
        <x:v>ACC-DEL-26.03</x:v>
      </x:c>
      <x:c r="B111" s="17" t="str">
        <x:v>DEL-26.03</x:v>
      </x:c>
      <x:c r="C111" s="17" t="str">
        <x:v>真实进度</x:v>
      </x:c>
      <x:c r="D111" s="17" t="str">
        <x:v>按本条对象构造本人、他人、缺证据、重复请求及旧版本测试资料；真实收费禁用</x:v>
      </x:c>
      <x:c r="E111" s="17" t="str">
        <x:v>显示未接Provider、未审规则、失败任务与重试。；关闭前台入口不等于后端已经解决风险。</x:v>
      </x:c>
      <x:c r="F111" s="17" t="str">
        <x:v>单元/契约/隔离MySQL与HTTP/端侧或跨端（按相关性执行）</x:v>
      </x:c>
      <x:c r="G111" s="17" t="str">
        <x:v>NOT_EXECUTED</x:v>
      </x:c>
      <x:c r="H111" s="17"/>
      <x:c r="I111" s="17"/>
    </x:row>
    <x:row r="112" ht="100" customHeight="1">
      <x:c r="A112" s="17" t="str">
        <x:v>ACC-DEL-26.04</x:v>
      </x:c>
      <x:c r="B112" s="17" t="str">
        <x:v>DEL-26.04</x:v>
      </x:c>
      <x:c r="C112" s="17" t="str">
        <x:v>数据与审计</x:v>
      </x:c>
      <x:c r="D112" s="17" t="str">
        <x:v>按本条对象构造本人、他人、缺证据、重复请求及旧版本测试资料；真实收费禁用</x:v>
      </x:c>
      <x:c r="E112" s="17" t="str">
        <x:v>报表基于交易事实，可导出审计和错误清单。；归档静态HTML或模拟截图不能作为真实统计。</x:v>
      </x:c>
      <x:c r="F112" s="17" t="str">
        <x:v>单元/契约/隔离MySQL与HTTP/端侧或跨端（按相关性执行）</x:v>
      </x:c>
      <x:c r="G112" s="17" t="str">
        <x:v>NOT_EXECUTED</x:v>
      </x:c>
      <x:c r="H112" s="17"/>
      <x:c r="I112" s="17"/>
    </x:row>
    <x:row r="113" ht="100" customHeight="1">
      <x:c r="A113" s="17" t="str">
        <x:v>ACC-DEL-27.01</x:v>
      </x:c>
      <x:c r="B113" s="17" t="str">
        <x:v>DEL-27.01</x:v>
      </x:c>
      <x:c r="C113" s="17" t="str">
        <x:v>非标参与</x:v>
      </x:c>
      <x:c r="D113" s="17" t="str">
        <x:v>按本条对象构造本人、他人、缺证据、重复请求及旧版本测试资料；真实收费禁用</x:v>
      </x:c>
      <x:c r="E113" s="17" t="str">
        <x:v>线下谈方案，线上记录报价合同、约定付款及节点。；试镜完成不等于买到角色使用权。</x:v>
      </x:c>
      <x:c r="F113" s="17" t="str">
        <x:v>单元/契约/隔离MySQL与HTTP/端侧或跨端（按相关性执行）</x:v>
      </x:c>
      <x:c r="G113" s="17" t="str">
        <x:v>NOT_EXECUTED</x:v>
      </x:c>
      <x:c r="H113" s="17"/>
      <x:c r="I113" s="17"/>
    </x:row>
    <x:row r="114" ht="100" customHeight="1">
      <x:c r="A114" s="17" t="str">
        <x:v>ACC-DEL-27.02</x:v>
      </x:c>
      <x:c r="B114" s="17" t="str">
        <x:v>DEL-27.02</x:v>
      </x:c>
      <x:c r="C114" s="17" t="str">
        <x:v>角色绑定</x:v>
      </x:c>
      <x:c r="D114" s="17" t="str">
        <x:v>按本条对象构造本人、他人、缺证据、重复请求及旧版本测试资料；真实收费禁用</x:v>
      </x:c>
      <x:c r="E114" s="17" t="str">
        <x:v>人物槽位关联具体数字人、造型/声音、授权和费用版本。；换角必须重核影响，不改原始剧本永久演员。</x:v>
      </x:c>
      <x:c r="F114" s="17" t="str">
        <x:v>单元/契约/隔离MySQL与HTTP/端侧或跨端（按相关性执行）</x:v>
      </x:c>
      <x:c r="G114" s="17" t="str">
        <x:v>NOT_EXECUTED</x:v>
      </x:c>
      <x:c r="H114" s="17"/>
      <x:c r="I114" s="17"/>
    </x:row>
    <x:row r="115" ht="100" customHeight="1">
      <x:c r="A115" s="17" t="str">
        <x:v>ACC-DEL-27.03</x:v>
      </x:c>
      <x:c r="B115" s="17" t="str">
        <x:v>DEL-27.03</x:v>
      </x:c>
      <x:c r="C115" s="17" t="str">
        <x:v>发行真实性</x:v>
      </x:c>
      <x:c r="D115" s="17" t="str">
        <x:v>按本条对象构造本人、他人、缺证据、重复请求及旧版本测试资料；真实收费禁用</x:v>
      </x:c>
      <x:c r="E115" s="17" t="str">
        <x:v>内部审核与外部已发行分别有证据。；没有渠道结果不得显示已上架。</x:v>
      </x:c>
      <x:c r="F115" s="17" t="str">
        <x:v>单元/契约/隔离MySQL与HTTP/端侧或跨端（按相关性执行）</x:v>
      </x:c>
      <x:c r="G115" s="17" t="str">
        <x:v>NOT_EXECUTED</x:v>
      </x:c>
      <x:c r="H115" s="17"/>
      <x:c r="I115" s="17"/>
    </x:row>
    <x:row r="116" ht="100" customHeight="1">
      <x:c r="A116" s="17" t="str">
        <x:v>ACC-DEL-27.04</x:v>
      </x:c>
      <x:c r="B116" s="17" t="str">
        <x:v>DEL-27.04</x:v>
      </x:c>
      <x:c r="C116" s="17" t="str">
        <x:v>未来收入</x:v>
      </x:c>
      <x:c r="D116" s="17" t="str">
        <x:v>按本条对象构造本人、他人、缺证据、重复请求及旧版本测试资料；真实收费禁用</x:v>
      </x:c>
      <x:c r="E116" s="17" t="str">
        <x:v>基于实际渠道账单、到账及合同计算发行收入。；不把未来收益比例直接乘当笔下单金额。</x:v>
      </x:c>
      <x:c r="F116" s="17" t="str">
        <x:v>单元/契约/隔离MySQL与HTTP/端侧或跨端（按相关性执行）</x:v>
      </x:c>
      <x:c r="G116" s="17" t="str">
        <x:v>NOT_EXECUTED</x:v>
      </x:c>
      <x:c r="H116" s="17"/>
      <x:c r="I116" s="17"/>
    </x:row>
    <x:row r="117" ht="100" customHeight="1">
      <x:c r="A117" s="17" t="str">
        <x:v>ACC-DEL-28.01</x:v>
      </x:c>
      <x:c r="B117" s="17" t="str">
        <x:v>DEL-28.01</x:v>
      </x:c>
      <x:c r="C117" s="17" t="str">
        <x:v>导航和深链</x:v>
      </x:c>
      <x:c r="D117" s="17" t="str">
        <x:v>按本条对象构造本人、他人、缺证据、重复请求及旧版本测试资料；真实收费禁用</x:v>
      </x:c>
      <x:c r="E117" s="17" t="str">
        <x:v>新五Tab真实接线，表单详情有返回；旧地址有明确映射或禁用说明。；不能仅改标签并继续打开旧项目/作者页。</x:v>
      </x:c>
      <x:c r="F117" s="17" t="str">
        <x:v>单元/契约/隔离MySQL与HTTP/端侧或跨端（按相关性执行）</x:v>
      </x:c>
      <x:c r="G117" s="17" t="str">
        <x:v>NOT_EXECUTED</x:v>
      </x:c>
      <x:c r="H117" s="17"/>
      <x:c r="I117" s="17"/>
    </x:row>
    <x:row r="118" ht="100" customHeight="1">
      <x:c r="A118" s="17" t="str">
        <x:v>ACC-DEL-28.02</x:v>
      </x:c>
      <x:c r="B118" s="17" t="str">
        <x:v>DEL-28.02</x:v>
      </x:c>
      <x:c r="C118" s="17" t="str">
        <x:v>同步规范测试</x:v>
      </x:c>
      <x:c r="D118" s="17" t="str">
        <x:v>按本条对象构造本人、他人、缺证据、重复请求及旧版本测试资料；真实收费禁用</x:v>
      </x:c>
      <x:c r="E118" s="17" t="str">
        <x:v>AGENTS导航段、旧图册映射、导航测试和实现说明同批迁移。；禁止删除测试来保住旧假成功。</x:v>
      </x:c>
      <x:c r="F118" s="17" t="str">
        <x:v>单元/契约/隔离MySQL与HTTP/端侧或跨端（按相关性执行）</x:v>
      </x:c>
      <x:c r="G118" s="17" t="str">
        <x:v>NOT_EXECUTED</x:v>
      </x:c>
      <x:c r="H118" s="17"/>
      <x:c r="I118" s="17"/>
    </x:row>
    <x:row r="119" ht="100" customHeight="1">
      <x:c r="A119" s="17" t="str">
        <x:v>ACC-DEL-28.03</x:v>
      </x:c>
      <x:c r="B119" s="17" t="str">
        <x:v>DEL-28.03</x:v>
      </x:c>
      <x:c r="C119" s="17" t="str">
        <x:v>原型修复</x:v>
      </x:c>
      <x:c r="D119" s="17" t="str">
        <x:v>按本条对象构造本人、他人、缺证据、重复请求及旧版本测试资料；真实收费禁用</x:v>
      </x:c>
      <x:c r="E119" s="17" t="str">
        <x:v>按品类字段变化、空白必填拦截、未解析字符串消除、草稿恢复。；无浏览器错误不等于业务交互通过。</x:v>
      </x:c>
      <x:c r="F119" s="17" t="str">
        <x:v>单元/契约/隔离MySQL与HTTP/端侧或跨端（按相关性执行）</x:v>
      </x:c>
      <x:c r="G119" s="17" t="str">
        <x:v>NOT_EXECUTED</x:v>
      </x:c>
      <x:c r="H119" s="17"/>
      <x:c r="I119" s="17"/>
    </x:row>
    <x:row r="120" ht="100" customHeight="1">
      <x:c r="A120" s="17" t="str">
        <x:v>ACC-DEL-28.04</x:v>
      </x:c>
      <x:c r="B120" s="17" t="str">
        <x:v>DEL-28.04</x:v>
      </x:c>
      <x:c r="C120" s="17" t="str">
        <x:v>状态与视觉</x:v>
      </x:c>
      <x:c r="D120" s="17" t="str">
        <x:v>按本条对象构造本人、他人、缺证据、重复请求及旧版本测试资料；真实收费禁用</x:v>
      </x:c>
      <x:c r="E120" s="17" t="str">
        <x:v>正常/空/失败/失权/待核验/版本冲突和小屏/大字实测。；不能把占位页计成功能完成；截图素材不默认商用。</x:v>
      </x:c>
      <x:c r="F120" s="17" t="str">
        <x:v>单元/契约/隔离MySQL与HTTP/端侧或跨端（按相关性执行）</x:v>
      </x:c>
      <x:c r="G120" s="17" t="str">
        <x:v>NOT_EXECUTED</x:v>
      </x:c>
      <x:c r="H120" s="17"/>
      <x:c r="I120" s="17"/>
    </x:row>
    <x:row r="121" ht="100" customHeight="1">
      <x:c r="A121" s="17" t="str">
        <x:v>ACC-DEL-29.01</x:v>
      </x:c>
      <x:c r="B121" s="17" t="str">
        <x:v>DEL-29.01</x:v>
      </x:c>
      <x:c r="C121" s="17" t="str">
        <x:v>场景不按页数</x:v>
      </x:c>
      <x:c r="D121" s="17" t="str">
        <x:v>按本条对象构造本人、他人、缺证据、重复请求及旧版本测试资料；真实收费禁用</x:v>
      </x:c>
      <x:c r="E121" s="17" t="str">
        <x:v>现货/定制/试镜/投稿/共创/积分兑换/退款等端到端。；旧测试绿色不等于V5通过；跳过需明确原因。</x:v>
      </x:c>
      <x:c r="F121" s="17" t="str">
        <x:v>单元/契约/隔离MySQL与HTTP/端侧或跨端（按相关性执行）</x:v>
      </x:c>
      <x:c r="G121" s="17" t="str">
        <x:v>NOT_EXECUTED</x:v>
      </x:c>
      <x:c r="H121" s="17"/>
      <x:c r="I121" s="17"/>
    </x:row>
    <x:row r="122" ht="100" customHeight="1">
      <x:c r="A122" s="17" t="str">
        <x:v>ACC-DEL-29.02</x:v>
      </x:c>
      <x:c r="B122" s="17" t="str">
        <x:v>DEL-29.02</x:v>
      </x:c>
      <x:c r="C122" s="17" t="str">
        <x:v>迁移和恢复</x:v>
      </x:c>
      <x:c r="D122" s="17" t="str">
        <x:v>按本条对象构造本人、他人、缺证据、重复请求及旧版本测试资料；真实收费禁用</x:v>
      </x:c>
      <x:c r="E122" s="17" t="str">
        <x:v>增量迁移保留旧规则、备份、恢复和账实校验。；不重建已跑MySQL、不强制删除旧记录。</x:v>
      </x:c>
      <x:c r="F122" s="17" t="str">
        <x:v>单元/契约/隔离MySQL与HTTP/端侧或跨端（按相关性执行）</x:v>
      </x:c>
      <x:c r="G122" s="17" t="str">
        <x:v>NOT_EXECUTED</x:v>
      </x:c>
      <x:c r="H122" s="17"/>
      <x:c r="I122" s="17"/>
    </x:row>
    <x:row r="123" ht="100" customHeight="1">
      <x:c r="A123" s="17" t="str">
        <x:v>ACC-DEL-29.03</x:v>
      </x:c>
      <x:c r="B123" s="17" t="str">
        <x:v>DEL-29.03</x:v>
      </x:c>
      <x:c r="C123" s="17" t="str">
        <x:v>供应商验证</x:v>
      </x:c>
      <x:c r="D123" s="17" t="str">
        <x:v>按本条对象构造本人、他人、缺证据、重复请求及旧版本测试资料；真实收费禁用</x:v>
      </x:c>
      <x:c r="E123" s="17" t="str">
        <x:v>基础数字人、实名、支付、OSS、电子签及删除各有沙箱/正式证据。；内部回调模拟不升级为正式启用。</x:v>
      </x:c>
      <x:c r="F123" s="17" t="str">
        <x:v>单元/契约/隔离MySQL与HTTP/端侧或跨端（按相关性执行）</x:v>
      </x:c>
      <x:c r="G123" s="17" t="str">
        <x:v>NOT_EXECUTED</x:v>
      </x:c>
      <x:c r="H123" s="17"/>
      <x:c r="I123" s="17"/>
    </x:row>
    <x:row r="124" ht="100" customHeight="1">
      <x:c r="A124" s="17" t="str">
        <x:v>ACC-DEL-29.04</x:v>
      </x:c>
      <x:c r="B124" s="17" t="str">
        <x:v>DEL-29.04</x:v>
      </x:c>
      <x:c r="C124" s="17" t="str">
        <x:v>发布边界</x:v>
      </x:c>
      <x:c r="D124" s="17" t="str">
        <x:v>按本条对象构造本人、他人、缺证据、重复请求及旧版本测试资料；真实收费禁用</x:v>
      </x:c>
      <x:c r="E124" s="17" t="str">
        <x:v>main、生产部署和真实收费另授权；阶段合integration不发生产。；正式签名缺失不得回退debug；未核验外部项保持限制。</x:v>
      </x:c>
      <x:c r="F124" s="17" t="str">
        <x:v>单元/契约/隔离MySQL与HTTP/端侧或跨端（按相关性执行）</x:v>
      </x:c>
      <x:c r="G124" s="17" t="str">
        <x:v>NOT_EXECUTED</x:v>
      </x:c>
      <x:c r="H124" s="17"/>
      <x:c r="I124" s="17"/>
    </x:row>
    <x:row r="125" ht="100" customHeight="1">
      <x:c r="A125" s="17" t="str">
        <x:v>E2E-01</x:v>
      </x:c>
      <x:c r="B125" s="17" t="str">
        <x:v>DEL-05；DEL-06；DEL-07；DEL-08；DEL-24</x:v>
      </x:c>
      <x:c r="C125" s="17" t="str">
        <x:v>现货购买</x:v>
      </x:c>
      <x:c r="D125" s="17" t="str">
        <x:v>隔离合成账户，至少两种主体/两类权限；不得调用正式收费与敏感材料</x:v>
      </x:c>
      <x:c r="E125" s="17" t="str">
        <x:v>现货不进故事卡；跨买家拒绝；重复回调不重复发权</x:v>
      </x:c>
      <x:c r="F125" s="17" t="str">
        <x:v>跨C/A/B实际API场景＋反例</x:v>
      </x:c>
      <x:c r="G125" s="17" t="str">
        <x:v>NOT_EXECUTED</x:v>
      </x:c>
      <x:c r="H125" s="17"/>
      <x:c r="I125" s="17"/>
    </x:row>
    <x:row r="126" ht="100" customHeight="1">
      <x:c r="A126" s="17" t="str">
        <x:v>E2E-02</x:v>
      </x:c>
      <x:c r="B126" s="17" t="str">
        <x:v>DEL-14；DEL-15；DEL-07</x:v>
      </x:c>
      <x:c r="C126" s="17" t="str">
        <x:v>私人高定</x:v>
      </x:c>
      <x:c r="D126" s="17" t="str">
        <x:v>隔离合成账户，至少两种主体/两类权限；不得调用正式收费与敏感材料</x:v>
      </x:c>
      <x:c r="E126" s="17" t="str">
        <x:v>复用production；50%成本假设不参与定价算法；内部稿不推给客户</x:v>
      </x:c>
      <x:c r="F126" s="17" t="str">
        <x:v>跨C/A/B实际API场景＋反例</x:v>
      </x:c>
      <x:c r="G126" s="17" t="str">
        <x:v>NOT_EXECUTED</x:v>
      </x:c>
      <x:c r="H126" s="17"/>
      <x:c r="I126" s="17"/>
    </x:row>
    <x:row r="127" ht="100" customHeight="1">
      <x:c r="A127" s="17" t="str">
        <x:v>E2E-03</x:v>
      </x:c>
      <x:c r="B127" s="17" t="str">
        <x:v>DEL-09；DEL-12；DEL-08</x:v>
      </x:c>
      <x:c r="C127" s="17" t="str">
        <x:v>试镜接单与拒绝</x:v>
      </x:c>
      <x:c r="D127" s="17" t="str">
        <x:v>隔离合成账户，至少两种主体/两类权限；不得调用正式收费与敏感材料</x:v>
      </x:c>
      <x:c r="E127" s="17" t="str">
        <x:v>未接全退；无transport_fee；录用与履约分开</x:v>
      </x:c>
      <x:c r="F127" s="17" t="str">
        <x:v>跨C/A/B实际API场景＋反例</x:v>
      </x:c>
      <x:c r="G127" s="17" t="str">
        <x:v>NOT_EXECUTED</x:v>
      </x:c>
      <x:c r="H127" s="17"/>
      <x:c r="I127" s="17"/>
    </x:row>
    <x:row r="128" ht="100" customHeight="1">
      <x:c r="A128" s="17" t="str">
        <x:v>E2E-04</x:v>
      </x:c>
      <x:c r="B128" s="17" t="str">
        <x:v>DEL-10；DEL-11；DEL-12</x:v>
      </x:c>
      <x:c r="C128" s="17" t="str">
        <x:v>投稿转正式合作</x:v>
      </x:c>
      <x:c r="D128" s="17" t="str">
        <x:v>隔离合成账户，至少两种主体/两类权限；不得调用正式收费与敏感材料</x:v>
      </x:c>
      <x:c r="E128" s="17" t="str">
        <x:v>感兴趣不自动开聊或授予角色；重复回复只建一工单</x:v>
      </x:c>
      <x:c r="F128" s="17" t="str">
        <x:v>跨C/A/B实际API场景＋反例</x:v>
      </x:c>
      <x:c r="G128" s="17" t="str">
        <x:v>NOT_EXECUTED</x:v>
      </x:c>
      <x:c r="H128" s="17"/>
      <x:c r="I128" s="17"/>
    </x:row>
    <x:row r="129" ht="100" customHeight="1">
      <x:c r="A129" s="17" t="str">
        <x:v>E2E-05</x:v>
      </x:c>
      <x:c r="B129" s="17" t="str">
        <x:v>DEL-16；DEL-02；DEL-03</x:v>
      </x:c>
      <x:c r="C129" s="17" t="str">
        <x:v>共创失败与成功</x:v>
      </x:c>
      <x:c r="D129" s="17" t="str">
        <x:v>隔离合成账户，至少两种主体/两类权限；不得调用正式收费与敏感材料</x:v>
      </x:c>
      <x:c r="E129" s="17" t="str">
        <x:v>人数不是唯一开工门禁；退组/撤回/未成团各有处理；不能泄露他人私人故事</x:v>
      </x:c>
      <x:c r="F129" s="17" t="str">
        <x:v>跨C/A/B实际API场景＋反例</x:v>
      </x:c>
      <x:c r="G129" s="17" t="str">
        <x:v>NOT_EXECUTED</x:v>
      </x:c>
      <x:c r="H129" s="17"/>
      <x:c r="I129" s="17"/>
    </x:row>
    <x:row r="130" ht="100" customHeight="1">
      <x:c r="A130" s="17" t="str">
        <x:v>E2E-06</x:v>
      </x:c>
      <x:c r="B130" s="17" t="str">
        <x:v>DEL-18；DEL-22；DEL-07</x:v>
      </x:c>
      <x:c r="C130" s="17" t="str">
        <x:v>积分兑换与核销</x:v>
      </x:c>
      <x:c r="D130" s="17" t="str">
        <x:v>隔离合成账户，至少两种主体/两类权限；不得调用正式收费与敏感材料</x:v>
      </x:c>
      <x:c r="E130" s="17" t="str">
        <x:v>储值/晶钻/成长/券不同账；满减及适用商品由生效版本检查</x:v>
      </x:c>
      <x:c r="F130" s="17" t="str">
        <x:v>跨C/A/B实际API场景＋反例</x:v>
      </x:c>
      <x:c r="G130" s="17" t="str">
        <x:v>NOT_EXECUTED</x:v>
      </x:c>
      <x:c r="H130" s="17"/>
      <x:c r="I130" s="17"/>
    </x:row>
    <x:row r="131" ht="100" customHeight="1">
      <x:c r="A131" s="17" t="str">
        <x:v>E2E-07</x:v>
      </x:c>
      <x:c r="B131" s="17" t="str">
        <x:v>DEL-21；DEL-22；DEL-18；DEL-02</x:v>
      </x:c>
      <x:c r="C131" s="17" t="str">
        <x:v>抽奖保底与故障</x:v>
      </x:c>
      <x:c r="D131" s="17" t="str">
        <x:v>隔离合成账户，至少两种主体/两类权限；不得调用正式收费与敏感材料</x:v>
      </x:c>
      <x:c r="E131" s="17" t="str">
        <x:v>结果固定；不重复扣；保底分布有证据；生产规则未批准则仅测试</x:v>
      </x:c>
      <x:c r="F131" s="17" t="str">
        <x:v>跨C/A/B实际API场景＋反例</x:v>
      </x:c>
      <x:c r="G131" s="17" t="str">
        <x:v>NOT_EXECUTED</x:v>
      </x:c>
      <x:c r="H131" s="17"/>
      <x:c r="I131" s="17"/>
    </x:row>
    <x:row r="132" ht="100" customHeight="1">
      <x:c r="A132" s="17" t="str">
        <x:v>E2E-08</x:v>
      </x:c>
      <x:c r="B132" s="17" t="str">
        <x:v>DEL-17；DEL-18</x:v>
      </x:c>
      <x:c r="C132" s="17" t="str">
        <x:v>星探续期与退款</x:v>
      </x:c>
      <x:c r="D132" s="17" t="str">
        <x:v>隔离合成账户，至少两种主体/两类权限；不得调用正式收费与敏感材料</x:v>
      </x:c>
      <x:c r="E132" s="17" t="str">
        <x:v>充值不发分；同次充值不无限续年；未核验正式储值不启用</x:v>
      </x:c>
      <x:c r="F132" s="17" t="str">
        <x:v>跨C/A/B实际API场景＋反例</x:v>
      </x:c>
      <x:c r="G132" s="17" t="str">
        <x:v>NOT_EXECUTED</x:v>
      </x:c>
      <x:c r="H132" s="17"/>
      <x:c r="I132" s="17"/>
    </x:row>
    <x:row r="133" ht="100" customHeight="1">
      <x:c r="A133" s="17" t="str">
        <x:v>E2E-09</x:v>
      </x:c>
      <x:c r="B133" s="17" t="str">
        <x:v>DEL-19；DEL-21；DEL-22</x:v>
      </x:c>
      <x:c r="C133" s="17" t="str">
        <x:v>中奖曝光与月冠军</x:v>
      </x:c>
      <x:c r="D133" s="17" t="str">
        <x:v>隔离合成账户，至少两种主体/两类权限；不得调用正式收费与敏感材料</x:v>
      </x:c>
      <x:c r="E133" s="17" t="str">
        <x:v>付费投流不开不等于拒兑；100晶钻/每日10票/60-20-20按专项版本</x:v>
      </x:c>
      <x:c r="F133" s="17" t="str">
        <x:v>跨C/A/B实际API场景＋反例</x:v>
      </x:c>
      <x:c r="G133" s="17" t="str">
        <x:v>NOT_EXECUTED</x:v>
      </x:c>
      <x:c r="H133" s="17"/>
      <x:c r="I133" s="17"/>
    </x:row>
    <x:row r="134" ht="100" customHeight="1">
      <x:c r="A134" s="17" t="str">
        <x:v>E2E-10</x:v>
      </x:c>
      <x:c r="B134" s="17" t="str">
        <x:v>DEL-25；DEL-08；DEL-20</x:v>
      </x:c>
      <x:c r="C134" s="17" t="str">
        <x:v>MCN解约与V5分账</x:v>
      </x:c>
      <x:c r="D134" s="17" t="str">
        <x:v>隔离合成账户，至少两种主体/两类权限；不得调用正式收费与敏感材料</x:v>
      </x:c>
      <x:c r="E134" s="17" t="str">
        <x:v>旧版算法/旧MCN/旧推荐快照重放；新规则只用于相应新单</x:v>
      </x:c>
      <x:c r="F134" s="17" t="str">
        <x:v>跨C/A/B实际API场景＋反例</x:v>
      </x:c>
      <x:c r="G134" s="17" t="str">
        <x:v>NOT_EXECUTED</x:v>
      </x:c>
      <x:c r="H134" s="17"/>
      <x:c r="I134" s="17"/>
    </x:row>
    <x:row r="135" ht="100" customHeight="1">
      <x:c r="A135" s="17" t="str">
        <x:v>E2E-11</x:v>
      </x:c>
      <x:c r="B135" s="17" t="str">
        <x:v>DEL-23；DEL-24；DEL-03</x:v>
      </x:c>
      <x:c r="C135" s="17" t="str">
        <x:v>撤回与隐私删除</x:v>
      </x:c>
      <x:c r="D135" s="17" t="str">
        <x:v>隔离合成账户，至少两种主体/两类权限；不得调用正式收费与敏感材料</x:v>
      </x:c>
      <x:c r="E135" s="17" t="str">
        <x:v>不以点击删除代替外部完成；保留例外可解释；失权缓存不泄露</x:v>
      </x:c>
      <x:c r="F135" s="17" t="str">
        <x:v>跨C/A/B实际API场景＋反例</x:v>
      </x:c>
      <x:c r="G135" s="17" t="str">
        <x:v>NOT_EXECUTED</x:v>
      </x:c>
      <x:c r="H135" s="17"/>
      <x:c r="I135" s="17"/>
    </x:row>
    <x:row r="136" ht="100" customHeight="1">
      <x:c r="A136" s="17" t="str">
        <x:v>E2E-12</x:v>
      </x:c>
      <x:c r="B136" s="17" t="str">
        <x:v>DEL-27；DEL-08</x:v>
      </x:c>
      <x:c r="C136" s="17" t="str">
        <x:v>非标参与及发行收入</x:v>
      </x:c>
      <x:c r="D136" s="17" t="str">
        <x:v>隔离合成账户，至少两种主体/两类权限；不得调用正式收费与敏感材料</x:v>
      </x:c>
      <x:c r="E136" s="17" t="str">
        <x:v>未来分红比例不乘本笔定制款；无真实渠道凭据不标已发行</x:v>
      </x:c>
      <x:c r="F136" s="17" t="str">
        <x:v>跨C/A/B实际API场景＋反例</x:v>
      </x:c>
      <x:c r="G136" s="17" t="str">
        <x:v>NOT_EXECUTED</x:v>
      </x:c>
      <x:c r="H136" s="17"/>
      <x:c r="I136" s="17"/>
    </x:row>
    <x:row r="137" ht="100" customHeight="1">
      <x:c r="A137" s="17" t="str">
        <x:v>ACC-DEL-19.05</x:v>
      </x:c>
      <x:c r="B137" s="17" t="str">
        <x:v>DEL-19.05</x:v>
      </x:c>
      <x:c r="C137" s="17" t="str">
        <x:v>月冠军投票、复合评分和奖励兑现</x:v>
      </x:c>
      <x:c r="D137" s="17" t="str">
        <x:v>同账号并发第10与11次投票，异议结果及有效奖品样例</x:v>
      </x:c>
      <x:c r="E137" s="17" t="str">
        <x:v>100晶钻一票、每账号每日10票、60/20/20评分按专项生效版本；投票、反刷、公示、异议、奖品发放分别记账。；并发投票不突破每日上限；退款/刷票处理有据；只显示冠军标题不算奖品兑现。 官方60%＋月榜20%＋晶钻票20%；未成年人直接请求投票须拦截。</x:v>
      </x:c>
      <x:c r="F137" s="17" t="str">
        <x:v>隔离MySQL并发＋端侧投票/异议</x:v>
      </x:c>
      <x:c r="G137" s="17" t="str">
        <x:v>NOT_EXECUTED</x:v>
      </x:c>
      <x:c r="H137" s="17"/>
      <x:c r="I137" s="17"/>
    </x:row>
  </x:sheetData>
  <x:mergeCells>
    <x:mergeCell ref="A1:I1"/>
    <x:mergeCell ref="A2:I2"/>
  </x:mergeCells>
  <x:dataValidations count="1">
    <x:dataValidation type="list" sqref="G5:G137">
      <x:formula1>"NOT_EXECUTED,PASS,FAIL,BLOCKED,PARTIAL"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97cefef3033424f"/>
  </x:tableParts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49" hidden="0" customWidth="1"/>
    <x:col min="3" max="3" width="29" hidden="0" customWidth="1"/>
    <x:col min="4" max="4" width="39" hidden="0" customWidth="1"/>
    <x:col min="5" max="5" width="55" hidden="0" customWidth="1"/>
  </x:cols>
  <x:sheetData>
    <x:row r="1" ht="30" customHeight="1">
      <x:c r="A1" s="3" t="str">
        <x:v>60个历史REQ保留编号｜V5下的去向</x:v>
      </x:c>
      <x:c r="B1" s="3"/>
      <x:c r="C1" s="3"/>
      <x:c r="D1" s="3"/>
      <x:c r="E1" s="3"/>
    </x:row>
    <x:row r="2" ht="26" customHeight="1">
      <x:c r="A2" s="7" t="str">
        <x:v>D1 / 2026-10-16 · PR23@25e6d29 · 此表为执行登记，不是完成率或生产通过证据</x:v>
      </x:c>
      <x:c r="B2" s="7"/>
      <x:c r="C2" s="7"/>
      <x:c r="D2" s="7"/>
      <x:c r="E2" s="7"/>
    </x:row>
    <x:row r="4" ht="30" customHeight="1">
      <x:c r="A4" s="12" t="str">
        <x:v>旧编号</x:v>
      </x:c>
      <x:c r="B4" s="12" t="str">
        <x:v>原始标题</x:v>
      </x:c>
      <x:c r="C4" s="12" t="str">
        <x:v>处理</x:v>
      </x:c>
      <x:c r="D4" s="12" t="str">
        <x:v>交付关联</x:v>
      </x:c>
      <x:c r="E4" s="12" t="str">
        <x:v>说明</x:v>
      </x:c>
    </x:row>
    <x:row r="5" ht="75" customHeight="1">
      <x:c r="A5" s="17" t="str">
        <x:v>REQ-001</x:v>
      </x:c>
      <x:c r="B5" s="17" t="str">
        <x:v>定制六步的关键数值：首款比例、样片时长、免费修改轮次、向导规则</x:v>
      </x:c>
      <x:c r="C5" s="17" t="str">
        <x:v>承接/改造</x:v>
      </x:c>
      <x:c r="D5" s="17" t="str">
        <x:v>DEL-07；DEL-14；DEL-15</x:v>
      </x:c>
      <x:c r="E5" s="17" t="str">
        <x:v>保留原编号作追溯；本表为工程关联建议，V5与专项原文为业务来源。</x:v>
      </x:c>
    </x:row>
    <x:row r="6" ht="75" customHeight="1">
      <x:c r="A6" s="17" t="str">
        <x:v>REQ-002</x:v>
      </x:c>
      <x:c r="B6" s="17" t="str">
        <x:v>分阶段退款规则（首款后、制作中、样片后、尾款后、交付后分别怎么退）</x:v>
      </x:c>
      <x:c r="C6" s="17" t="str">
        <x:v>承接/改造</x:v>
      </x:c>
      <x:c r="D6" s="17" t="str">
        <x:v>DEL-07；DEL-15</x:v>
      </x:c>
      <x:c r="E6" s="17" t="str">
        <x:v>保留原编号作追溯；本表为工程关联建议，V5与专项原文为业务来源。</x:v>
      </x:c>
    </x:row>
    <x:row r="7" ht="75" customHeight="1">
      <x:c r="A7" s="17" t="str">
        <x:v>REQ-003</x:v>
      </x:c>
      <x:c r="B7" s="17" t="str">
        <x:v>P0 制作供给模式，以及“制作侧在哪交付”（新稿状态机有制作方却无操作面）</x:v>
      </x:c>
      <x:c r="C7" s="17" t="str">
        <x:v>承接/改造</x:v>
      </x:c>
      <x:c r="D7" s="17" t="str">
        <x:v>DEL-14；DEL-15；DEL-26</x:v>
      </x:c>
      <x:c r="E7" s="17" t="str">
        <x:v>保留原编号作追溯；本表为工程关联建议，V5与专项原文为业务来源。</x:v>
      </x:c>
    </x:row>
    <x:row r="8" ht="75" customHeight="1">
      <x:c r="A8" s="17" t="str">
        <x:v>REQ-004</x:v>
      </x:c>
      <x:c r="B8" s="17" t="str">
        <x:v>一笔定制费如何分账（新稿账本只有平台/主理人/MCN，缺制作方与陪演）</x:v>
      </x:c>
      <x:c r="C8" s="17" t="str">
        <x:v>承接/改造</x:v>
      </x:c>
      <x:c r="D8" s="17" t="str">
        <x:v>DEL-08；DEL-15；DEL-20</x:v>
      </x:c>
      <x:c r="E8" s="17" t="str">
        <x:v>保留原编号作追溯；本表为工程关联建议，V5与专项原文为业务来源。</x:v>
      </x:c>
    </x:row>
    <x:row r="9" ht="75" customHeight="1">
      <x:c r="A9" s="17" t="str">
        <x:v>REQ-005</x:v>
      </x:c>
      <x:c r="B9" s="17" t="str">
        <x:v>资金合规路径，防范“二清”（无证清分资金）</x:v>
      </x:c>
      <x:c r="C9" s="17" t="str">
        <x:v>承接/改造</x:v>
      </x:c>
      <x:c r="D9" s="17" t="str">
        <x:v>DEL-07；DEL-08；DEL-17；DEL-29</x:v>
      </x:c>
      <x:c r="E9" s="17" t="str">
        <x:v>保留原编号作追溯；本表为工程关联建议，V5与专项原文为业务来源。</x:v>
      </x:c>
    </x:row>
    <x:row r="10" ht="75" customHeight="1">
      <x:c r="A10" s="17" t="str">
        <x:v>REQ-006</x:v>
      </x:c>
      <x:c r="B10" s="17" t="str">
        <x:v>人脸/声音确权的触发节奏（避免 P0 一注册就被重确权压垮转化）</x:v>
      </x:c>
      <x:c r="C10" s="17" t="str">
        <x:v>承接/改造</x:v>
      </x:c>
      <x:c r="D10" s="17" t="str">
        <x:v>DEL-02</x:v>
      </x:c>
      <x:c r="E10" s="17" t="str">
        <x:v>保留原编号作追溯；本表为工程关联建议，V5与专项原文为业务来源。</x:v>
      </x:c>
    </x:row>
    <x:row r="11" ht="75" customHeight="1">
      <x:c r="A11" s="17" t="str">
        <x:v>REQ-007</x:v>
      </x:c>
      <x:c r="B11" s="17" t="str">
        <x:v>三类数字人分别能做哪些动作（类型×动作开放矩阵）</x:v>
      </x:c>
      <x:c r="C11" s="17" t="str">
        <x:v>承接/改造</x:v>
      </x:c>
      <x:c r="D11" s="17" t="str">
        <x:v>DEL-03；DEL-04；DEL-16</x:v>
      </x:c>
      <x:c r="E11" s="17" t="str">
        <x:v>保留原编号作追溯；本表为工程关联建议，V5与专项原文为业务来源。</x:v>
      </x:c>
    </x:row>
    <x:row r="12" ht="75" customHeight="1">
      <x:c r="A12" s="17" t="str">
        <x:v>REQ-008</x:v>
      </x:c>
      <x:c r="B12" s="17" t="str">
        <x:v>iOS 内购(IAP)与第三方支付的分界（新稿通篇支付却遗漏，必须捡回）</x:v>
      </x:c>
      <x:c r="C12" s="17" t="str">
        <x:v>承接/改造</x:v>
      </x:c>
      <x:c r="D12" s="17" t="str">
        <x:v>DEL-06；DEL-07；DEL-17；DEL-29</x:v>
      </x:c>
      <x:c r="E12" s="17" t="str">
        <x:v>保留原编号作追溯；本表为工程关联建议，V5与专项原文为业务来源。</x:v>
      </x:c>
    </x:row>
    <x:row r="13" ht="75" customHeight="1">
      <x:c r="A13" s="17" t="str">
        <x:v>REQ-009</x:v>
      </x:c>
      <x:c r="B13" s="17" t="str">
        <x:v>底部导航结构与“对内自娱/对外发行”两线隔离</x:v>
      </x:c>
      <x:c r="C13" s="17" t="str">
        <x:v>按V5替换现行规则</x:v>
      </x:c>
      <x:c r="D13" s="17" t="str">
        <x:v>DEL-04；DEL-10；DEL-11；DEL-12；DEL-28</x:v>
      </x:c>
      <x:c r="E13" s="17" t="str">
        <x:v>不是删历史：新入口/业务/费率用新版本，旧订单按原约。</x:v>
      </x:c>
    </x:row>
    <x:row r="14" ht="75" customHeight="1">
      <x:c r="A14" s="17" t="str">
        <x:v>REQ-010</x:v>
      </x:c>
      <x:c r="B14" s="17" t="str">
        <x:v>单独同意 + 电子授权书 + 授权状态机如何落地</x:v>
      </x:c>
      <x:c r="C14" s="17" t="str">
        <x:v>承接/改造</x:v>
      </x:c>
      <x:c r="D14" s="17" t="str">
        <x:v>DEL-02；DEL-03；DEL-16；DEL-23</x:v>
      </x:c>
      <x:c r="E14" s="17" t="str">
        <x:v>保留原编号作追溯；本表为工程关联建议，V5与专项原文为业务来源。</x:v>
      </x:c>
    </x:row>
    <x:row r="15" ht="75" customHeight="1">
      <x:c r="A15" s="17" t="str">
        <x:v>REQ-011</x:v>
      </x:c>
      <x:c r="B15" s="17" t="str">
        <x:v>AI 生成内容的显式+隐式标识</x:v>
      </x:c>
      <x:c r="C15" s="17" t="str">
        <x:v>承接/改造</x:v>
      </x:c>
      <x:c r="D15" s="17" t="str">
        <x:v>DEL-24</x:v>
      </x:c>
      <x:c r="E15" s="17" t="str">
        <x:v>保留原编号作追溯；本表为工程关联建议，V5与专项原文为业务来源。</x:v>
      </x:c>
    </x:row>
    <x:row r="16" ht="75" customHeight="1">
      <x:c r="A16" s="17" t="str">
        <x:v>REQ-012</x:v>
      </x:c>
      <x:c r="B16" s="17" t="str">
        <x:v>授权到期提醒、撤回与删除的处理口径</x:v>
      </x:c>
      <x:c r="C16" s="17" t="str">
        <x:v>承接/改造</x:v>
      </x:c>
      <x:c r="D16" s="17" t="str">
        <x:v>DEL-03；DEL-23</x:v>
      </x:c>
      <x:c r="E16" s="17" t="str">
        <x:v>保留原编号作追溯；本表为工程关联建议，V5与专项原文为业务来源。</x:v>
      </x:c>
    </x:row>
    <x:row r="17" ht="75" customHeight="1">
      <x:c r="A17" s="17" t="str">
        <x:v>REQ-013</x:v>
      </x:c>
      <x:c r="B17" s="17" t="str">
        <x:v>应用侧算法备案/生成式AI服务登记 + 安全评估</x:v>
      </x:c>
      <x:c r="C17" s="17" t="str">
        <x:v>承接/改造</x:v>
      </x:c>
      <x:c r="D17" s="17" t="str">
        <x:v>DEL-24；DEL-29</x:v>
      </x:c>
      <x:c r="E17" s="17" t="str">
        <x:v>保留原编号作追溯；本表为工程关联建议，V5与专项原文为业务来源。</x:v>
      </x:c>
    </x:row>
    <x:row r="18" ht="75" customHeight="1">
      <x:c r="A18" s="17" t="str">
        <x:v>REQ-014</x:v>
      </x:c>
      <x:c r="B18" s="17" t="str">
        <x:v>确权服务商选型与成本由谁承担</x:v>
      </x:c>
      <x:c r="C18" s="17" t="str">
        <x:v>承接/改造</x:v>
      </x:c>
      <x:c r="D18" s="17" t="str">
        <x:v>DEL-02</x:v>
      </x:c>
      <x:c r="E18" s="17" t="str">
        <x:v>保留原编号作追溯；本表为工程关联建议，V5与专项原文为业务来源。</x:v>
      </x:c>
    </x:row>
    <x:row r="19" ht="75" customHeight="1">
      <x:c r="A19" s="17" t="str">
        <x:v>REQ-015</x:v>
      </x:c>
      <x:c r="B19" s="17" t="str">
        <x:v>公司资质与证照办理时序</x:v>
      </x:c>
      <x:c r="C19" s="17" t="str">
        <x:v>承接/改造</x:v>
      </x:c>
      <x:c r="D19" s="17" t="str">
        <x:v>DEL-24；DEL-29</x:v>
      </x:c>
      <x:c r="E19" s="17" t="str">
        <x:v>保留原编号作追溯；本表为工程关联建议，V5与专项原文为业务来源。</x:v>
      </x:c>
    </x:row>
    <x:row r="20" ht="75" customHeight="1">
      <x:c r="A20" s="17" t="str">
        <x:v>REQ-016</x:v>
      </x:c>
      <x:c r="B20" s="17" t="str">
        <x:v>MCN直接合作、项目/订单级佣金、归属和历史关系管理</x:v>
      </x:c>
      <x:c r="C20" s="17" t="str">
        <x:v>承接/改造</x:v>
      </x:c>
      <x:c r="D20" s="17" t="str">
        <x:v>DEL-08；DEL-20；DEL-25</x:v>
      </x:c>
      <x:c r="E20" s="17" t="str">
        <x:v>保留原编号作追溯；本表为工程关联建议，V5与专项原文为业务来源。</x:v>
      </x:c>
    </x:row>
    <x:row r="21" ht="75" customHeight="1">
      <x:c r="A21" s="17" t="str">
        <x:v>REQ-017</x:v>
      </x:c>
      <x:c r="B21" s="17" t="str">
        <x:v>商单/广告合规与禁入品类</x:v>
      </x:c>
      <x:c r="C21" s="17" t="str">
        <x:v>承接/改造</x:v>
      </x:c>
      <x:c r="D21" s="17" t="str">
        <x:v>DEL-05；DEL-09；DEL-10</x:v>
      </x:c>
      <x:c r="E21" s="17" t="str">
        <x:v>保留原编号作追溯；本表为工程关联建议，V5与专项原文为业务来源。</x:v>
      </x:c>
    </x:row>
    <x:row r="22" ht="75" customHeight="1">
      <x:c r="A22" s="17" t="str">
        <x:v>REQ-018</x:v>
      </x:c>
      <x:c r="B22" s="17" t="str">
        <x:v>平台抽佣比例与 MCN 分成方式</x:v>
      </x:c>
      <x:c r="C22" s="17" t="str">
        <x:v>按V5替换现行规则</x:v>
      </x:c>
      <x:c r="D22" s="17" t="str">
        <x:v>DEL-08；DEL-20</x:v>
      </x:c>
      <x:c r="E22" s="17" t="str">
        <x:v>不是删历史：新入口/业务/费率用新版本，旧订单按原约。</x:v>
      </x:c>
    </x:row>
    <x:row r="23" ht="75" customHeight="1">
      <x:c r="A23" s="17" t="str">
        <x:v>REQ-019</x:v>
      </x:c>
      <x:c r="B23" s="17" t="str">
        <x:v>结算周期、提现规则与个人个税代扣</x:v>
      </x:c>
      <x:c r="C23" s="17" t="str">
        <x:v>承接/改造</x:v>
      </x:c>
      <x:c r="D23" s="17" t="str">
        <x:v>DEL-08；DEL-17；DEL-20</x:v>
      </x:c>
      <x:c r="E23" s="17" t="str">
        <x:v>保留原编号作追溯；本表为工程关联建议，V5与专项原文为业务来源。</x:v>
      </x:c>
    </x:row>
    <x:row r="24" ht="75" customHeight="1">
      <x:c r="A24" s="17" t="str">
        <x:v>REQ-020</x:v>
      </x:c>
      <x:c r="B24" s="17" t="str">
        <x:v>热度/新兴/地区三大榜单算法与防刷</x:v>
      </x:c>
      <x:c r="C24" s="17" t="str">
        <x:v>承接/改造</x:v>
      </x:c>
      <x:c r="D24" s="17" t="str">
        <x:v>DEL-04；DEL-18；DEL-19；DEL-21</x:v>
      </x:c>
      <x:c r="E24" s="17" t="str">
        <x:v>保留原编号作追溯；本表为工程关联建议，V5与专项原文为业务来源。</x:v>
      </x:c>
    </x:row>
    <x:row r="25" ht="75" customHeight="1">
      <x:c r="A25" s="17" t="str">
        <x:v>REQ-021</x:v>
      </x:c>
      <x:c r="B25" s="17" t="str">
        <x:v>标准档与高端档的服务差异边界</x:v>
      </x:c>
      <x:c r="C25" s="17" t="str">
        <x:v>承接/改造</x:v>
      </x:c>
      <x:c r="D25" s="17" t="str">
        <x:v>DEL-14；DEL-15</x:v>
      </x:c>
      <x:c r="E25" s="17" t="str">
        <x:v>保留原编号作追溯；本表为工程关联建议，V5与专项原文为业务来源。</x:v>
      </x:c>
    </x:row>
    <x:row r="26" ht="75" customHeight="1">
      <x:c r="A26" s="17" t="str">
        <x:v>REQ-022</x:v>
      </x:c>
      <x:c r="B26" s="17" t="str">
        <x:v>剧本框架(SCRIPT)来源与版权归属</x:v>
      </x:c>
      <x:c r="C26" s="17" t="str">
        <x:v>承接/改造</x:v>
      </x:c>
      <x:c r="D26" s="17" t="str">
        <x:v>DEL-13</x:v>
      </x:c>
      <x:c r="E26" s="17" t="str">
        <x:v>保留原编号作追溯；本表为工程关联建议，V5与专项原文为业务来源。</x:v>
      </x:c>
    </x:row>
    <x:row r="27" ht="75" customHeight="1">
      <x:c r="A27" s="17" t="str">
        <x:v>REQ-023</x:v>
      </x:c>
      <x:c r="B27" s="17" t="str">
        <x:v>机构入驻、数字人独家管理与身份切换</x:v>
      </x:c>
      <x:c r="C27" s="17" t="str">
        <x:v>承接/改造</x:v>
      </x:c>
      <x:c r="D27" s="17" t="str">
        <x:v>DEL-01；DEL-19；DEL-25</x:v>
      </x:c>
      <x:c r="E27" s="17" t="str">
        <x:v>保留原编号作追溯；本表为工程关联建议，V5与专项原文为业务来源。</x:v>
      </x:c>
    </x:row>
    <x:row r="28" ht="75" customHeight="1">
      <x:c r="A28" s="17" t="str">
        <x:v>REQ-024</x:v>
      </x:c>
      <x:c r="B28" s="17" t="str">
        <x:v>入戏 / 商单 / 成角三类业务的边界与归类</x:v>
      </x:c>
      <x:c r="C28" s="17" t="str">
        <x:v>按V5替换现行规则</x:v>
      </x:c>
      <x:c r="D28" s="17" t="str">
        <x:v>DEL-04；DEL-06；DEL-09；DEL-10；DEL-11；DEL-14；DEL-17；DEL-18；DEL-19；DEL-21；DEL-22</x:v>
      </x:c>
      <x:c r="E28" s="17" t="str">
        <x:v>不是删历史：新入口/业务/费率用新版本，旧订单按原约。</x:v>
      </x:c>
    </x:row>
    <x:row r="29" ht="75" customHeight="1">
      <x:c r="A29" s="17" t="str">
        <x:v>REQ-025</x:v>
      </x:c>
      <x:c r="B29" s="17" t="str">
        <x:v>成角（对外发行）线是否进入 P0</x:v>
      </x:c>
      <x:c r="C29" s="17" t="str">
        <x:v>承接/改造</x:v>
      </x:c>
      <x:c r="D29" s="17" t="str">
        <x:v>DEL-10；DEL-27</x:v>
      </x:c>
      <x:c r="E29" s="17" t="str">
        <x:v>保留原编号作追溯；本表为工程关联建议，V5与专项原文为业务来源。</x:v>
      </x:c>
    </x:row>
    <x:row r="30" ht="75" customHeight="1">
      <x:c r="A30" s="17" t="str">
        <x:v>REQ-026</x:v>
      </x:c>
      <x:c r="B30" s="17" t="str">
        <x:v>出品立项条件与流拍（凑不齐角色）处理</x:v>
      </x:c>
      <x:c r="C30" s="17" t="str">
        <x:v>承接/改造</x:v>
      </x:c>
      <x:c r="D30" s="17" t="str">
        <x:v>DEL-09；DEL-10；DEL-11；DEL-16；DEL-27</x:v>
      </x:c>
      <x:c r="E30" s="17" t="str">
        <x:v>保留原编号作追溯；本表为工程关联建议，V5与专项原文为业务来源。</x:v>
      </x:c>
    </x:row>
    <x:row r="31" ht="75" customHeight="1">
      <x:c r="A31" s="17" t="str">
        <x:v>REQ-027</x:v>
      </x:c>
      <x:c r="B31" s="17" t="str">
        <x:v>角色竞拍规则：保证金/出价步长/防狙击/角色权益</x:v>
      </x:c>
      <x:c r="C31" s="17" t="str">
        <x:v>继续排除</x:v>
      </x:c>
      <x:c r="D31" s="17" t="str"/>
      <x:c r="E31" s="17" t="str">
        <x:v>通用角色竞拍不建设；V5广告预埋和抽奖不是恢复角色拍卖。</x:v>
      </x:c>
    </x:row>
    <x:row r="32" ht="75" customHeight="1">
      <x:c r="A32" s="17" t="str">
        <x:v>REQ-028</x:v>
      </x:c>
      <x:c r="B32" s="17" t="str">
        <x:v>自娱内容转对外发行的“转线闸门”</x:v>
      </x:c>
      <x:c r="C32" s="17" t="str">
        <x:v>承接/改造</x:v>
      </x:c>
      <x:c r="D32" s="17" t="str">
        <x:v>DEL-27</x:v>
      </x:c>
      <x:c r="E32" s="17" t="str">
        <x:v>保留原编号作追溯；本表为工程关联建议，V5与专项原文为业务来源。</x:v>
      </x:c>
    </x:row>
    <x:row r="33" ht="75" customHeight="1">
      <x:c r="A33" s="17" t="str">
        <x:v>REQ-029</x:v>
      </x:c>
      <x:c r="B33" s="17" t="str">
        <x:v>发行前多方确认顺序</x:v>
      </x:c>
      <x:c r="C33" s="17" t="str">
        <x:v>承接/改造</x:v>
      </x:c>
      <x:c r="D33" s="17" t="str">
        <x:v>DEL-15；DEL-16；DEL-27</x:v>
      </x:c>
      <x:c r="E33" s="17" t="str">
        <x:v>保留原编号作追溯；本表为工程关联建议，V5与专项原文为业务来源。</x:v>
      </x:c>
    </x:row>
    <x:row r="34" ht="75" customHeight="1">
      <x:c r="A34" s="17" t="str">
        <x:v>REQ-030</x:v>
      </x:c>
      <x:c r="B34" s="17" t="str">
        <x:v>发行收入可分配口径与结算周期（旧Q8遗留）</x:v>
      </x:c>
      <x:c r="C34" s="17" t="str">
        <x:v>承接/改造</x:v>
      </x:c>
      <x:c r="D34" s="17" t="str">
        <x:v>DEL-08；DEL-27</x:v>
      </x:c>
      <x:c r="E34" s="17" t="str">
        <x:v>保留原编号作追溯；本表为工程关联建议，V5与专项原文为业务来源。</x:v>
      </x:c>
    </x:row>
    <x:row r="35" ht="75" customHeight="1">
      <x:c r="A35" s="17" t="str">
        <x:v>REQ-031</x:v>
      </x:c>
      <x:c r="B35" s="17" t="str">
        <x:v>企业/品牌委托方入口何时开放</x:v>
      </x:c>
      <x:c r="C35" s="17" t="str">
        <x:v>承接/改造</x:v>
      </x:c>
      <x:c r="D35" s="17" t="str">
        <x:v>DEL-01；DEL-10；DEL-17</x:v>
      </x:c>
      <x:c r="E35" s="17" t="str">
        <x:v>保留原编号作追溯；本表为工程关联建议，V5与专项原文为业务来源。</x:v>
      </x:c>
    </x:row>
    <x:row r="36" ht="75" customHeight="1">
      <x:c r="A36" s="17" t="str">
        <x:v>REQ-032</x:v>
      </x:c>
      <x:c r="B36" s="17" t="str">
        <x:v>数字人身份标识强制国标与监管新规跟踪</x:v>
      </x:c>
      <x:c r="C36" s="17" t="str">
        <x:v>承接/改造</x:v>
      </x:c>
      <x:c r="D36" s="17" t="str">
        <x:v>DEL-24；DEL-29</x:v>
      </x:c>
      <x:c r="E36" s="17" t="str">
        <x:v>保留原编号作追溯；本表为工程关联建议，V5与专项原文为业务来源。</x:v>
      </x:c>
    </x:row>
    <x:row r="37" ht="75" customHeight="1">
      <x:c r="A37" s="17" t="str">
        <x:v>REQ-033</x:v>
      </x:c>
      <x:c r="B37" s="17" t="str">
        <x:v>产品名与主体</x:v>
      </x:c>
      <x:c r="C37" s="17" t="str">
        <x:v>承接/改造</x:v>
      </x:c>
      <x:c r="D37" s="17" t="str">
        <x:v>DEL-28</x:v>
      </x:c>
      <x:c r="E37" s="17" t="str">
        <x:v>保留原编号作追溯；本表为工程关联建议，V5与专项原文为业务来源。</x:v>
      </x:c>
    </x:row>
    <x:row r="38" ht="75" customHeight="1">
      <x:c r="A38" s="17" t="str">
        <x:v>REQ-034</x:v>
      </x:c>
      <x:c r="B38" s="17" t="str">
        <x:v>交易身份与责任</x:v>
      </x:c>
      <x:c r="C38" s="17" t="str">
        <x:v>承接/改造</x:v>
      </x:c>
      <x:c r="D38" s="17" t="str">
        <x:v>DEL-01；DEL-07</x:v>
      </x:c>
      <x:c r="E38" s="17" t="str">
        <x:v>保留原编号作追溯；本表为工程关联建议，V5与专项原文为业务来源。</x:v>
      </x:c>
    </x:row>
    <x:row r="39" ht="75" customHeight="1">
      <x:c r="A39" s="17" t="str">
        <x:v>REQ-035</x:v>
      </x:c>
      <x:c r="B39" s="17" t="str">
        <x:v>私人作品的使用边界</x:v>
      </x:c>
      <x:c r="C39" s="17" t="str">
        <x:v>承接/改造</x:v>
      </x:c>
      <x:c r="D39" s="17" t="str">
        <x:v>DEL-05；DEL-06；DEL-15</x:v>
      </x:c>
      <x:c r="E39" s="17" t="str">
        <x:v>保留原编号作追溯；本表为工程关联建议，V5与专项原文为业务来源。</x:v>
      </x:c>
    </x:row>
    <x:row r="40" ht="75" customHeight="1">
      <x:c r="A40" s="17" t="str">
        <x:v>REQ-036</x:v>
      </x:c>
      <x:c r="B40" s="17" t="str">
        <x:v>成果权利分层</x:v>
      </x:c>
      <x:c r="C40" s="17" t="str">
        <x:v>承接/改造</x:v>
      </x:c>
      <x:c r="D40" s="17" t="str">
        <x:v>DEL-03；DEL-05；DEL-27</x:v>
      </x:c>
      <x:c r="E40" s="17" t="str">
        <x:v>保留原编号作追溯；本表为工程关联建议，V5与专项原文为业务来源。</x:v>
      </x:c>
    </x:row>
    <x:row r="41" ht="75" customHeight="1">
      <x:c r="A41" s="17" t="str">
        <x:v>REQ-037</x:v>
      </x:c>
      <x:c r="B41" s="17" t="str">
        <x:v>年龄与授权人</x:v>
      </x:c>
      <x:c r="C41" s="17" t="str">
        <x:v>承接/改造</x:v>
      </x:c>
      <x:c r="D41" s="17" t="str">
        <x:v>DEL-02；DEL-16；DEL-17；DEL-21；DEL-23</x:v>
      </x:c>
      <x:c r="E41" s="17" t="str">
        <x:v>保留原编号作追溯；本表为工程关联建议，V5与专项原文为业务来源。</x:v>
      </x:c>
    </x:row>
    <x:row r="42" ht="75" customHeight="1">
      <x:c r="A42" s="17" t="str">
        <x:v>REQ-038</x:v>
      </x:c>
      <x:c r="B42" s="17" t="str">
        <x:v>标准交付与验收</x:v>
      </x:c>
      <x:c r="C42" s="17" t="str">
        <x:v>承接/改造</x:v>
      </x:c>
      <x:c r="D42" s="17" t="str">
        <x:v>DEL-06；DEL-07；DEL-09；DEL-14；DEL-15；DEL-16；DEL-22</x:v>
      </x:c>
      <x:c r="E42" s="17" t="str">
        <x:v>保留原编号作追溯；本表为工程关联建议，V5与专项原文为业务来源。</x:v>
      </x:c>
    </x:row>
    <x:row r="43" ht="75" customHeight="1">
      <x:c r="A43" s="17" t="str">
        <x:v>REQ-039</x:v>
      </x:c>
      <x:c r="B43" s="17" t="str">
        <x:v>长期数字人验收</x:v>
      </x:c>
      <x:c r="C43" s="17" t="str">
        <x:v>承接/改造</x:v>
      </x:c>
      <x:c r="D43" s="17" t="str">
        <x:v>DEL-02；DEL-03</x:v>
      </x:c>
      <x:c r="E43" s="17" t="str">
        <x:v>保留原编号作追溯；本表为工程关联建议，V5与专项原文为业务来源。</x:v>
      </x:c>
    </x:row>
    <x:row r="44" ht="75" customHeight="1">
      <x:c r="A44" s="17" t="str">
        <x:v>REQ-040</x:v>
      </x:c>
      <x:c r="B44" s="17" t="str">
        <x:v>定价与制作产能</x:v>
      </x:c>
      <x:c r="C44" s="17" t="str">
        <x:v>承接/改造</x:v>
      </x:c>
      <x:c r="D44" s="17" t="str">
        <x:v>DEL-14；DEL-15；DEL-26</x:v>
      </x:c>
      <x:c r="E44" s="17" t="str">
        <x:v>保留原编号作追溯；本表为工程关联建议，V5与专项原文为业务来源。</x:v>
      </x:c>
    </x:row>
    <x:row r="45" ht="75" customHeight="1">
      <x:c r="A45" s="17" t="str">
        <x:v>REQ-041</x:v>
      </x:c>
      <x:c r="B45" s="17" t="str">
        <x:v>数据保留与删除</x:v>
      </x:c>
      <x:c r="C45" s="17" t="str">
        <x:v>承接/改造</x:v>
      </x:c>
      <x:c r="D45" s="17" t="str">
        <x:v>DEL-03；DEL-14；DEL-23；DEL-24；DEL-29</x:v>
      </x:c>
      <x:c r="E45" s="17" t="str">
        <x:v>保留原编号作追溯；本表为工程关联建议，V5与专项原文为业务来源。</x:v>
      </x:c>
    </x:row>
    <x:row r="46" ht="75" customHeight="1">
      <x:c r="A46" s="17" t="str">
        <x:v>REQ-042</x:v>
      </x:c>
      <x:c r="B46" s="17" t="str">
        <x:v>规则版本与历史订单</x:v>
      </x:c>
      <x:c r="C46" s="17" t="str">
        <x:v>承接/改造</x:v>
      </x:c>
      <x:c r="D46" s="17" t="str">
        <x:v>DEL-07；DEL-08；DEL-15；DEL-16；DEL-17；DEL-18；DEL-20；DEL-21；DEL-22；DEL-27</x:v>
      </x:c>
      <x:c r="E46" s="17" t="str">
        <x:v>保留原编号作追溯；本表为工程关联建议，V5与专项原文为业务来源。</x:v>
      </x:c>
    </x:row>
    <x:row r="47" ht="75" customHeight="1">
      <x:c r="A47" s="17" t="str">
        <x:v>REQ-043</x:v>
      </x:c>
      <x:c r="B47" s="17" t="str">
        <x:v>异常与暂停处理</x:v>
      </x:c>
      <x:c r="C47" s="17" t="str">
        <x:v>承接/改造</x:v>
      </x:c>
      <x:c r="D47" s="17" t="str">
        <x:v>DEL-09；DEL-11；DEL-12；DEL-15；DEL-21；DEL-22；DEL-23</x:v>
      </x:c>
      <x:c r="E47" s="17" t="str">
        <x:v>保留原编号作追溯；本表为工程关联建议，V5与专项原文为业务来源。</x:v>
      </x:c>
    </x:row>
    <x:row r="48" ht="75" customHeight="1">
      <x:c r="A48" s="17" t="str">
        <x:v>REQ-044</x:v>
      </x:c>
      <x:c r="B48" s="17" t="str">
        <x:v>需求变更与发布权限</x:v>
      </x:c>
      <x:c r="C48" s="17" t="str">
        <x:v>承接/改造</x:v>
      </x:c>
      <x:c r="D48" s="17" t="str">
        <x:v>DEL-00；DEL-26；DEL-28；DEL-29</x:v>
      </x:c>
      <x:c r="E48" s="17" t="str">
        <x:v>保留原编号作追溯；本表为工程关联建议，V5与专项原文为业务来源。</x:v>
      </x:c>
    </x:row>
    <x:row r="49" ht="75" customHeight="1">
      <x:c r="A49" s="17" t="str">
        <x:v>REQ-045</x:v>
      </x:c>
      <x:c r="B49" s="17" t="str">
        <x:v>本轮完整交付范围与验收</x:v>
      </x:c>
      <x:c r="C49" s="17" t="str">
        <x:v>按V5替换现行规则</x:v>
      </x:c>
      <x:c r="D49" s="17" t="str">
        <x:v>DEL-00；DEL-28；DEL-29</x:v>
      </x:c>
      <x:c r="E49" s="17" t="str">
        <x:v>不是删历史：新入口/业务/费率用新版本，旧订单按原约。</x:v>
      </x:c>
    </x:row>
    <x:row r="50" ht="75" customHeight="1">
      <x:c r="A50" s="17" t="str">
        <x:v>REQ-046</x:v>
      </x:c>
      <x:c r="B50" s="17" t="str">
        <x:v>个人作者和机构版权方入驻</x:v>
      </x:c>
      <x:c r="C50" s="17" t="str">
        <x:v>部分收口/保留</x:v>
      </x:c>
      <x:c r="D50" s="17" t="str">
        <x:v>DEL-13</x:v>
      </x:c>
      <x:c r="E50" s="17" t="str">
        <x:v>作者自助门户本期不开放，A端商务供稿及历史证据保留；MCN/艺人视频自助上架仍建设。</x:v>
      </x:c>
    </x:row>
    <x:row r="51" ht="75" customHeight="1">
      <x:c r="A51" s="17" t="str">
        <x:v>REQ-047</x:v>
      </x:c>
      <x:c r="B51" s="17" t="str">
        <x:v>同一供给主体可承担多种业务</x:v>
      </x:c>
      <x:c r="C51" s="17" t="str">
        <x:v>承接/改造</x:v>
      </x:c>
      <x:c r="D51" s="17" t="str">
        <x:v>DEL-01；DEL-25</x:v>
      </x:c>
      <x:c r="E51" s="17" t="str">
        <x:v>保留原编号作追溯；本表为工程关联建议，V5与专项原文为业务来源。</x:v>
      </x:c>
    </x:row>
    <x:row r="52" ht="75" customHeight="1">
      <x:c r="A52" s="17" t="str">
        <x:v>REQ-048</x:v>
      </x:c>
      <x:c r="B52" s="17" t="str">
        <x:v>剧本商品与公开试读</x:v>
      </x:c>
      <x:c r="C52" s="17" t="str">
        <x:v>部分收口/保留</x:v>
      </x:c>
      <x:c r="D52" s="17" t="str">
        <x:v>DEL-13</x:v>
      </x:c>
      <x:c r="E52" s="17" t="str">
        <x:v>作者自助门户本期不开放，A端商务供稿及历史证据保留；MCN/艺人视频自助上架仍建设。</x:v>
      </x:c>
    </x:row>
    <x:row r="53" ht="75" customHeight="1">
      <x:c r="A53" s="17" t="str">
        <x:v>REQ-049</x:v>
      </x:c>
      <x:c r="B53" s="17" t="str">
        <x:v>逐作品权利链核验</x:v>
      </x:c>
      <x:c r="C53" s="17" t="str">
        <x:v>承接/改造</x:v>
      </x:c>
      <x:c r="D53" s="17" t="str">
        <x:v>DEL-13；DEL-26</x:v>
      </x:c>
      <x:c r="E53" s="17" t="str">
        <x:v>保留原编号作追溯；本表为工程关联建议，V5与专项原文为业务来源。</x:v>
      </x:c>
    </x:row>
    <x:row r="54" ht="75" customHeight="1">
      <x:c r="A54" s="17" t="str">
        <x:v>REQ-050</x:v>
      </x:c>
      <x:c r="B54" s="17" t="str">
        <x:v>权属与内容独立审核、证据归档</x:v>
      </x:c>
      <x:c r="C54" s="17" t="str">
        <x:v>承接/改造</x:v>
      </x:c>
      <x:c r="D54" s="17" t="str">
        <x:v>DEL-05；DEL-13；DEL-24；DEL-26</x:v>
      </x:c>
      <x:c r="E54" s="17" t="str">
        <x:v>保留原编号作追溯；本表为工程关联建议，V5与专项原文为业务来源。</x:v>
      </x:c>
    </x:row>
    <x:row r="55" ht="75" customHeight="1">
      <x:c r="A55" s="17" t="str">
        <x:v>REQ-051</x:v>
      </x:c>
      <x:c r="B55" s="17" t="str">
        <x:v>许可商品的权利范围</x:v>
      </x:c>
      <x:c r="C55" s="17" t="str">
        <x:v>承接/改造</x:v>
      </x:c>
      <x:c r="D55" s="17" t="str">
        <x:v>DEL-05；DEL-06；DEL-13</x:v>
      </x:c>
      <x:c r="E55" s="17" t="str">
        <x:v>保留原编号作追溯；本表为工程关联建议，V5与专项原文为业务来源。</x:v>
      </x:c>
    </x:row>
    <x:row r="56" ht="75" customHeight="1">
      <x:c r="A56" s="17" t="str">
        <x:v>REQ-052</x:v>
      </x:c>
      <x:c r="B56" s="17" t="str">
        <x:v>独家权利的预留与冲突防范</x:v>
      </x:c>
      <x:c r="C56" s="17" t="str">
        <x:v>承接/改造</x:v>
      </x:c>
      <x:c r="D56" s="17" t="str">
        <x:v>DEL-13；DEL-27</x:v>
      </x:c>
      <x:c r="E56" s="17" t="str">
        <x:v>保留原编号作追溯；本表为工程关联建议，V5与专项原文为业务来源。</x:v>
      </x:c>
    </x:row>
    <x:row r="57" ht="75" customHeight="1">
      <x:c r="A57" s="17" t="str">
        <x:v>REQ-053</x:v>
      </x:c>
      <x:c r="B57" s="17" t="str">
        <x:v>报价与剧本授权订单</x:v>
      </x:c>
      <x:c r="C57" s="17" t="str">
        <x:v>承接/改造</x:v>
      </x:c>
      <x:c r="D57" s="17" t="str">
        <x:v>DEL-06；DEL-07</x:v>
      </x:c>
      <x:c r="E57" s="17" t="str">
        <x:v>保留原编号作追溯；本表为工程关联建议，V5与专项原文为业务来源。</x:v>
      </x:c>
    </x:row>
    <x:row r="58" ht="75" customHeight="1">
      <x:c r="A58" s="17" t="str">
        <x:v>REQ-054</x:v>
      </x:c>
      <x:c r="B58" s="17" t="str">
        <x:v>许可生效、凭证与项目绑定</x:v>
      </x:c>
      <x:c r="C58" s="17" t="str">
        <x:v>承接/改造</x:v>
      </x:c>
      <x:c r="D58" s="17" t="str">
        <x:v>DEL-06；DEL-13；DEL-27</x:v>
      </x:c>
      <x:c r="E58" s="17" t="str">
        <x:v>保留原编号作追溯；本表为工程关联建议，V5与专项原文为业务来源。</x:v>
      </x:c>
    </x:row>
    <x:row r="59" ht="75" customHeight="1">
      <x:c r="A59" s="17" t="str">
        <x:v>REQ-055</x:v>
      </x:c>
      <x:c r="B59" s="17" t="str">
        <x:v>完整剧本受控阅读和导出</x:v>
      </x:c>
      <x:c r="C59" s="17" t="str">
        <x:v>承接/改造</x:v>
      </x:c>
      <x:c r="D59" s="17" t="str">
        <x:v>DEL-06；DEL-13；DEL-24</x:v>
      </x:c>
      <x:c r="E59" s="17" t="str">
        <x:v>保留原编号作追溯；本表为工程关联建议，V5与专项原文为业务来源。</x:v>
      </x:c>
    </x:row>
    <x:row r="60" ht="75" customHeight="1">
      <x:c r="A60" s="17" t="str">
        <x:v>REQ-056</x:v>
      </x:c>
      <x:c r="B60" s="17" t="str">
        <x:v>AI制作所需剧本处理许可</x:v>
      </x:c>
      <x:c r="C60" s="17" t="str">
        <x:v>承接/改造</x:v>
      </x:c>
      <x:c r="D60" s="17" t="str">
        <x:v>DEL-13；DEL-14；DEL-24</x:v>
      </x:c>
      <x:c r="E60" s="17" t="str">
        <x:v>保留原编号作追溯；本表为工程关联建议，V5与专项原文为业务来源。</x:v>
      </x:c>
    </x:row>
    <x:row r="61" ht="75" customHeight="1">
      <x:c r="A61" s="17" t="str">
        <x:v>REQ-057</x:v>
      </x:c>
      <x:c r="B61" s="17" t="str">
        <x:v>版权方佣金、结算和收款</x:v>
      </x:c>
      <x:c r="C61" s="17" t="str">
        <x:v>承接/改造</x:v>
      </x:c>
      <x:c r="D61" s="17" t="str">
        <x:v>DEL-08；DEL-13</x:v>
      </x:c>
      <x:c r="E61" s="17" t="str">
        <x:v>保留原编号作追溯；本表为工程关联建议，V5与专项原文为业务来源。</x:v>
      </x:c>
    </x:row>
    <x:row r="62" ht="75" customHeight="1">
      <x:c r="A62" s="17" t="str">
        <x:v>REQ-058</x:v>
      </x:c>
      <x:c r="B62" s="17" t="str">
        <x:v>许可退款、侵权争议和合同补救</x:v>
      </x:c>
      <x:c r="C62" s="17" t="str">
        <x:v>承接/改造</x:v>
      </x:c>
      <x:c r="D62" s="17" t="str">
        <x:v>DEL-07；DEL-08</x:v>
      </x:c>
      <x:c r="E62" s="17" t="str">
        <x:v>保留原编号作追溯；本表为工程关联建议，V5与专项原文为业务来源。</x:v>
      </x:c>
    </x:row>
    <x:row r="63" ht="75" customHeight="1">
      <x:c r="A63" s="17" t="str">
        <x:v>REQ-059</x:v>
      </x:c>
      <x:c r="B63" s="17" t="str">
        <x:v>供给侧完整自助工作台与统计</x:v>
      </x:c>
      <x:c r="C63" s="17" t="str">
        <x:v>部分收口/保留</x:v>
      </x:c>
      <x:c r="D63" s="17" t="str">
        <x:v>DEL-05；DEL-11；DEL-12；DEL-13；DEL-25；DEL-26</x:v>
      </x:c>
      <x:c r="E63" s="17" t="str">
        <x:v>作者自助门户本期不开放，A端商务供稿及历史证据保留；MCN/艺人视频自助上架仍建设。</x:v>
      </x:c>
    </x:row>
    <x:row r="64" ht="75" customHeight="1">
      <x:c r="A64" s="17" t="str">
        <x:v>REQ-060</x:v>
      </x:c>
      <x:c r="B64" s="17" t="str">
        <x:v>三档样片及2分钟旗舰片原文核对</x:v>
      </x:c>
      <x:c r="C64" s="17" t="str">
        <x:v>历史未定内容按V5重新映射</x:v>
      </x:c>
      <x:c r="D64" s="17" t="str">
        <x:v>DEL-14</x:v>
      </x:c>
      <x:c r="E64" s="17" t="str">
        <x:v>不继续要求旧“三档全文”决定所有开工；V5已定90秒2500等按当前来源，其他规格仍需对应商品确认。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31ec9d02ffc54acf"/>
  </x:tableParts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31" hidden="0" customWidth="1"/>
    <x:col min="3" max="3" width="19" hidden="0" customWidth="1"/>
    <x:col min="4" max="4" width="49" hidden="0" customWidth="1"/>
    <x:col min="5" max="5" width="37" hidden="0" customWidth="1"/>
    <x:col min="6" max="6" width="41" hidden="0" customWidth="1"/>
  </x:cols>
  <x:sheetData>
    <x:row r="1" ht="30" customHeight="1">
      <x:c r="A1" s="3" t="str">
        <x:v>PR0.5的40项专题｜不可替代完整范围</x:v>
      </x:c>
      <x:c r="B1" s="3"/>
      <x:c r="C1" s="3"/>
      <x:c r="D1" s="3"/>
      <x:c r="E1" s="3"/>
      <x:c r="F1" s="3"/>
    </x:row>
    <x:row r="2" ht="26" customHeight="1">
      <x:c r="A2" s="7" t="str">
        <x:v>D1 / 2026-10-16 · PR23@25e6d29 · 此表为执行登记，不是完成率或生产通过证据</x:v>
      </x:c>
      <x:c r="B2" s="7"/>
      <x:c r="C2" s="7"/>
      <x:c r="D2" s="7"/>
      <x:c r="E2" s="7"/>
      <x:c r="F2" s="7"/>
    </x:row>
    <x:row r="4" ht="30" customHeight="1">
      <x:c r="A4" s="12" t="str">
        <x:v>编号</x:v>
      </x:c>
      <x:c r="B4" s="12" t="str">
        <x:v>名称</x:v>
      </x:c>
      <x:c r="C4" s="12" t="str">
        <x:v>队友代码判断</x:v>
      </x:c>
      <x:c r="D4" s="12" t="str">
        <x:v>队友依据</x:v>
      </x:c>
      <x:c r="E4" s="12" t="str">
        <x:v>新交付包</x:v>
      </x:c>
      <x:c r="F4" s="12" t="str">
        <x:v>说明</x:v>
      </x:c>
    </x:row>
    <x:row r="5" ht="75" customHeight="1">
      <x:c r="A5" s="17" t="str">
        <x:v>V5-001</x:v>
      </x:c>
      <x:c r="B5" s="17" t="str">
        <x:v>深度生产边界</x:v>
      </x:c>
      <x:c r="C5" s="17" t="str">
        <x:v>B（D）</x:v>
      </x:c>
      <x:c r="D5" s="17" t="str">
        <x:v>production已有人工链；保留受派制作工具，收敛用户入口；基础数字人真实provider未实现</x:v>
      </x:c>
      <x:c r="E5" s="17" t="str">
        <x:v>DEL-03；DEL-15</x:v>
      </x:c>
      <x:c r="F5" s="17" t="str">
        <x:v>旧40专题不是完整V5范围；与DEL全量交付域共同使用。</x:v>
      </x:c>
    </x:row>
    <x:row r="6" ht="75" customHeight="1">
      <x:c r="A6" s="17" t="str">
        <x:v>V5-002</x:v>
      </x:c>
      <x:c r="B6" s="17" t="str">
        <x:v>高情绪定制上架</x:v>
      </x:c>
      <x:c r="C6" s="17" t="str">
        <x:v>B</x:v>
      </x:c>
      <x:c r="D6" s="17" t="str">
        <x:v>trade specification可复用；无品类/SKU目录和高定/现货类型</x:v>
      </x:c>
      <x:c r="E6" s="17" t="str">
        <x:v>DEL-05；DEL-14；DEL-15</x:v>
      </x:c>
      <x:c r="F6" s="17" t="str">
        <x:v>旧40专题不是完整V5范围；与DEL全量交付域共同使用。</x:v>
      </x:c>
    </x:row>
    <x:row r="7" ht="75" customHeight="1">
      <x:c r="A7" s="17" t="str">
        <x:v>V5-003</x:v>
      </x:c>
      <x:c r="B7" s="17" t="str">
        <x:v>高定/现货分层</x:v>
      </x:c>
      <x:c r="C7" s="17" t="str">
        <x:v>B</x:v>
      </x:c>
      <x:c r="D7" s="17" t="str">
        <x:v>制作与剧本许可不同；新增成片购买权益与不同履约链</x:v>
      </x:c>
      <x:c r="E7" s="17" t="str">
        <x:v>DEL-05；DEL-06</x:v>
      </x:c>
      <x:c r="F7" s="17" t="str">
        <x:v>旧40专题不是完整V5范围；与DEL全量交付域共同使用。</x:v>
      </x:c>
    </x:row>
    <x:row r="8" ht="75" customHeight="1">
      <x:c r="A8" s="17" t="str">
        <x:v>V5-004</x:v>
      </x:c>
      <x:c r="B8" s="17" t="str">
        <x:v>故事采集卡</x:v>
      </x:c>
      <x:c r="C8" s="17" t="str">
        <x:v>C</x:v>
      </x:c>
      <x:c r="D8" s="17" t="str">
        <x:v>无动态schema/草稿/提交/补件版本API</x:v>
      </x:c>
      <x:c r="E8" s="17" t="str">
        <x:v>DEL-14</x:v>
      </x:c>
      <x:c r="F8" s="17" t="str">
        <x:v>旧40专题不是完整V5范围；与DEL全量交付域共同使用。</x:v>
      </x:c>
    </x:row>
    <x:row r="9" ht="75" customHeight="1">
      <x:c r="A9" s="17" t="str">
        <x:v>V5-005</x:v>
      </x:c>
      <x:c r="B9" s="17" t="str">
        <x:v>人工承制工单</x:v>
      </x:c>
      <x:c r="C9" s="17" t="str">
        <x:v>B</x:v>
      </x:c>
      <x:c r="D9" s="17" t="str">
        <x:v>production项目/派单/审查/反馈已实现；接故事卡和品类工作流</x:v>
      </x:c>
      <x:c r="E9" s="17" t="str">
        <x:v>DEL-15</x:v>
      </x:c>
      <x:c r="F9" s="17" t="str">
        <x:v>旧40专题不是完整V5范围；与DEL全量交付域共同使用。</x:v>
      </x:c>
    </x:row>
    <x:row r="10" ht="75" customHeight="1">
      <x:c r="A10" s="17" t="str">
        <x:v>V5-006</x:v>
      </x:c>
      <x:c r="B10" s="17" t="str">
        <x:v>合同报价/里程碑</x:v>
      </x:c>
      <x:c r="C10" s="17" t="str">
        <x:v>A（D）</x:v>
      </x:c>
      <x:c r="D10" s="17" t="str">
        <x:v>quote快照、阶段支付、版本确认均已有；真实电子签另核验</x:v>
      </x:c>
      <x:c r="E10" s="17" t="str">
        <x:v>DEL-06；DEL-07；DEL-08；DEL-15；DEL-27</x:v>
      </x:c>
      <x:c r="F10" s="17" t="str">
        <x:v>旧40专题不是完整V5范围；与DEL全量交付域共同使用。</x:v>
      </x:c>
    </x:row>
    <x:row r="11" ht="75" customHeight="1">
      <x:c r="A11" s="17" t="str">
        <x:v>V5-007</x:v>
      </x:c>
      <x:c r="B11" s="17" t="str">
        <x:v>共创主订单</x:v>
      </x:c>
      <x:c r="C11" s="17" t="str">
        <x:v>C</x:v>
      </x:c>
      <x:c r="D11" s="17" t="str">
        <x:v>无房间/参与者/实名去重/10与20规则</x:v>
      </x:c>
      <x:c r="E11" s="17" t="str">
        <x:v>DEL-16</x:v>
      </x:c>
      <x:c r="F11" s="17" t="str">
        <x:v>旧40专题不是完整V5范围；与DEL全量交付域共同使用。</x:v>
      </x:c>
    </x:row>
    <x:row r="12" ht="75" customHeight="1">
      <x:c r="A12" s="17" t="str">
        <x:v>V5-008</x:v>
      </x:c>
      <x:c r="B12" s="17" t="str">
        <x:v>参与者版成果</x:v>
      </x:c>
      <x:c r="C12" s="17" t="str">
        <x:v>B</x:v>
      </x:c>
      <x:c r="D12" s="17" t="str">
        <x:v>受控版本下载可复用；需多参与者结果/授权映射</x:v>
      </x:c>
      <x:c r="E12" s="17" t="str">
        <x:v>DEL-15；DEL-16</x:v>
      </x:c>
      <x:c r="F12" s="17" t="str">
        <x:v>旧40专题不是完整V5范围；与DEL全量交付域共同使用。</x:v>
      </x:c>
    </x:row>
    <x:row r="13" ht="75" customHeight="1">
      <x:c r="A13" s="17" t="str">
        <x:v>V5-009</x:v>
      </x:c>
      <x:c r="B13" s="17" t="str">
        <x:v>一级推荐归因</x:v>
      </x:c>
      <x:c r="C13" s="17" t="str">
        <x:v>C（D）</x:v>
      </x:c>
      <x:c r="D13" s="17" t="str">
        <x:v>无归因/7天/自购排除/退款冲回；MCN relation不能替代</x:v>
      </x:c>
      <x:c r="E13" s="17" t="str">
        <x:v>DEL-08；DEL-20</x:v>
      </x:c>
      <x:c r="F13" s="17" t="str">
        <x:v>旧40专题不是完整V5范围；与DEL全量交付域共同使用。</x:v>
      </x:c>
    </x:row>
    <x:row r="14" ht="75" customHeight="1">
      <x:c r="A14" s="17" t="str">
        <x:v>V5-010</x:v>
      </x:c>
      <x:c r="B14" s="17" t="str">
        <x:v>动态采集卡编辑</x:v>
      </x:c>
      <x:c r="C14" s="17" t="str">
        <x:v>C</x:v>
      </x:c>
      <x:c r="D14" s="17" t="str">
        <x:v>无字段模板/发布版本/数据采集目的模型</x:v>
      </x:c>
      <x:c r="E14" s="17" t="str">
        <x:v>DEL-14；DEL-26</x:v>
      </x:c>
      <x:c r="F14" s="17" t="str">
        <x:v>旧40专题不是完整V5范围；与DEL全量交付域共同使用。</x:v>
      </x:c>
    </x:row>
    <x:row r="15" ht="75" customHeight="1">
      <x:c r="A15" s="17" t="str">
        <x:v>V5-011</x:v>
      </x:c>
      <x:c r="B15" s="17" t="str">
        <x:v>节日套餐/现货管理</x:v>
      </x:c>
      <x:c r="C15" s="17" t="str">
        <x:v>B</x:v>
      </x:c>
      <x:c r="D15" s="17" t="str">
        <x:v>SPEC/PRODUCT版本可借用，缺视频SKU/套餐和已购权益</x:v>
      </x:c>
      <x:c r="E15" s="17" t="str">
        <x:v>DEL-05；DEL-26</x:v>
      </x:c>
      <x:c r="F15" s="17" t="str">
        <x:v>旧40专题不是完整V5范围；与DEL全量交付域共同使用。</x:v>
      </x:c>
    </x:row>
    <x:row r="16" ht="75" customHeight="1">
      <x:c r="A16" s="17" t="str">
        <x:v>V5-012</x:v>
      </x:c>
      <x:c r="B16" s="17" t="str">
        <x:v>晶钻抽奖入口</x:v>
      </x:c>
      <x:c r="C16" s="17" t="str">
        <x:v>C（D）</x:v>
      </x:c>
      <x:c r="D16" s="17" t="str">
        <x:v>无新抽奖API/扣分流水</x:v>
      </x:c>
      <x:c r="E16" s="17" t="str">
        <x:v>DEL-21</x:v>
      </x:c>
      <x:c r="F16" s="17" t="str">
        <x:v>旧40专题不是完整V5范围；与DEL全量交付域共同使用。</x:v>
      </x:c>
    </x:row>
    <x:row r="17" ht="75" customHeight="1">
      <x:c r="A17" s="17" t="str">
        <x:v>V5-013</x:v>
      </x:c>
      <x:c r="B17" s="17" t="str">
        <x:v>12配置/11启用</x:v>
      </x:c>
      <x:c r="C17" s="17" t="str">
        <x:v>C（D）</x:v>
      </x:c>
      <x:c r="D17" s="17" t="str">
        <x:v>无奖池版本模型，正式概率发布需审核</x:v>
      </x:c>
      <x:c r="E17" s="17" t="str">
        <x:v>DEL-21</x:v>
      </x:c>
      <x:c r="F17" s="17" t="str">
        <x:v>旧40专题不是完整V5范围；与DEL全量交付域共同使用。</x:v>
      </x:c>
    </x:row>
    <x:row r="18" ht="75" customHeight="1">
      <x:c r="A18" s="17" t="str">
        <x:v>V5-014</x:v>
      </x:c>
      <x:c r="B18" s="17" t="str">
        <x:v>十连保底</x:v>
      </x:c>
      <x:c r="C18" s="17" t="str">
        <x:v>C（D）</x:v>
      </x:c>
      <x:c r="D18" s="17" t="str">
        <x:v>无算法；算法/概率披露须定值</x:v>
      </x:c>
      <x:c r="E18" s="17" t="str">
        <x:v>DEL-21</x:v>
      </x:c>
      <x:c r="F18" s="17" t="str">
        <x:v>旧40专题不是完整V5范围；与DEL全量交付域共同使用。</x:v>
      </x:c>
    </x:row>
    <x:row r="19" ht="75" customHeight="1">
      <x:c r="A19" s="17" t="str">
        <x:v>V5-015</x:v>
      </x:c>
      <x:c r="B19" s="17" t="str">
        <x:v>面试卡</x:v>
      </x:c>
      <x:c r="C19" s="17" t="str">
        <x:v>C（D）</x:v>
      </x:c>
      <x:c r="D19" s="17" t="str">
        <x:v>无权益/批次/核销/补救；试镜批次也未实现</x:v>
      </x:c>
      <x:c r="E19" s="17" t="str">
        <x:v>DEL-22</x:v>
      </x:c>
      <x:c r="F19" s="17" t="str">
        <x:v>旧40专题不是完整V5范围；与DEL全量交付域共同使用。</x:v>
      </x:c>
    </x:row>
    <x:row r="20" ht="75" customHeight="1">
      <x:c r="A20" s="17" t="str">
        <x:v>V5-016</x:v>
      </x:c>
      <x:c r="B20" s="17" t="str">
        <x:v>制作金/免单</x:v>
      </x:c>
      <x:c r="C20" s="17" t="str">
        <x:v>C（D）</x:v>
      </x:c>
      <x:c r="D20" s="17" t="str">
        <x:v>无优惠权益/锁定核销/退款恢复业务</x:v>
      </x:c>
      <x:c r="E20" s="17" t="str">
        <x:v>DEL-22</x:v>
      </x:c>
      <x:c r="F20" s="17" t="str">
        <x:v>旧40专题不是完整V5范围；与DEL全量交付域共同使用。</x:v>
      </x:c>
    </x:row>
    <x:row r="21" ht="75" customHeight="1">
      <x:c r="A21" s="17" t="str">
        <x:v>V5-017</x:v>
      </x:c>
      <x:c r="B21" s="17" t="str">
        <x:v>概率/成本CMS</x:v>
      </x:c>
      <x:c r="C21" s="17" t="str">
        <x:v>C（D）</x:v>
      </x:c>
      <x:c r="D21" s="17" t="str">
        <x:v>无规则发布/预算计算/开奖审计模型</x:v>
      </x:c>
      <x:c r="E21" s="17" t="str">
        <x:v>DEL-19；DEL-21；DEL-26</x:v>
      </x:c>
      <x:c r="F21" s="17" t="str">
        <x:v>旧40专题不是完整V5范围；与DEL全量交付域共同使用。</x:v>
      </x:c>
    </x:row>
    <x:row r="22" ht="75" customHeight="1">
      <x:c r="A22" s="17" t="str">
        <x:v>V5-018</x:v>
      </x:c>
      <x:c r="B22" s="17" t="str">
        <x:v>晶钻与资金隔离</x:v>
      </x:c>
      <x:c r="C22" s="17" t="str">
        <x:v>C（D）</x:v>
      </x:c>
      <x:c r="D22" s="17" t="str">
        <x:v>finance余额为卖家应付；买家储值、可用和累计积分均须建立</x:v>
      </x:c>
      <x:c r="E22" s="17" t="str">
        <x:v>DEL-17；DEL-18</x:v>
      </x:c>
      <x:c r="F22" s="17" t="str">
        <x:v>旧40专题不是完整V5范围；与DEL全量交付域共同使用。</x:v>
      </x:c>
    </x:row>
    <x:row r="23" ht="75" customHeight="1">
      <x:c r="A23" s="17" t="str">
        <x:v>V5-019</x:v>
      </x:c>
      <x:c r="B23" s="17" t="str">
        <x:v>积分有效期</x:v>
      </x:c>
      <x:c r="C23" s="17" t="str">
        <x:v>C（D）</x:v>
      </x:c>
      <x:c r="D23" s="17" t="str">
        <x:v>无积分批次、来源、到期/冲回模型；渠道约束另核</x:v>
      </x:c>
      <x:c r="E23" s="17" t="str">
        <x:v>DEL-17；DEL-18</x:v>
      </x:c>
      <x:c r="F23" s="17" t="str">
        <x:v>旧40专题不是完整V5范围；与DEL全量交付域共同使用。</x:v>
      </x:c>
    </x:row>
    <x:row r="24" ht="75" customHeight="1">
      <x:c r="A24" s="17" t="str">
        <x:v>V5-020</x:v>
      </x:c>
      <x:c r="B24" s="17" t="str">
        <x:v>未成年限制</x:v>
      </x:c>
      <x:c r="C24" s="17" t="str">
        <x:v>C（D）</x:v>
      </x:c>
      <x:c r="D24" s="17" t="str">
        <x:v>无年龄/监护结果和跨充值/经营/试镜/抽奖门禁</x:v>
      </x:c>
      <x:c r="E24" s="17" t="str">
        <x:v>DEL-02；DEL-23</x:v>
      </x:c>
      <x:c r="F24" s="17" t="str">
        <x:v>旧40专题不是完整V5范围；与DEL全量交付域共同使用。</x:v>
      </x:c>
    </x:row>
    <x:row r="25" ht="75" customHeight="1">
      <x:c r="A25" s="17" t="str">
        <x:v>V5-021</x:v>
      </x:c>
      <x:c r="B25" s="17" t="str">
        <x:v>账号注销</x:v>
      </x:c>
      <x:c r="C25" s="17" t="str">
        <x:v>C</x:v>
      </x:c>
      <x:c r="D25" s="17" t="str">
        <x:v>新API只有会话撤销；旧SQLite注销不能覆盖新业务</x:v>
      </x:c>
      <x:c r="E25" s="17" t="str">
        <x:v>DEL-23</x:v>
      </x:c>
      <x:c r="F25" s="17" t="str">
        <x:v>旧40专题不是完整V5范围；与DEL全量交付域共同使用。</x:v>
      </x:c>
    </x:row>
    <x:row r="26" ht="75" customHeight="1">
      <x:c r="A26" s="17" t="str">
        <x:v>V5-022</x:v>
      </x:c>
      <x:c r="B26" s="17" t="str">
        <x:v>脸声授权撤回</x:v>
      </x:c>
      <x:c r="C26" s="17" t="str">
        <x:v>B（D）</x:v>
      </x:c>
      <x:c r="D26" s="17" t="str">
        <x:v>WITHDRAWN + 即时制作校验 + DELETE_REQUIRED已有；无外部完成证据和全商品分发拦截</x:v>
      </x:c>
      <x:c r="E26" s="17" t="str">
        <x:v>DEL-03；DEL-23</x:v>
      </x:c>
      <x:c r="F26" s="17" t="str">
        <x:v>旧40专题不是完整V5范围；与DEL全量交付域共同使用。</x:v>
      </x:c>
    </x:row>
    <x:row r="27" ht="75" customHeight="1">
      <x:c r="A27" s="17" t="str">
        <x:v>V5-023</x:v>
      </x:c>
      <x:c r="B27" s="17" t="str">
        <x:v>敏感单独同意</x:v>
      </x:c>
      <x:c r="C27" s="17" t="str">
        <x:v>B（D）</x:v>
      </x:c>
      <x:c r="D27" s="17" t="str">
        <x:v>FACE/VOICE目的期限授权可用；相册/位置/麦克风/监护/撤回链待补</x:v>
      </x:c>
      <x:c r="E27" s="17" t="str">
        <x:v>DEL-02；DEL-23</x:v>
      </x:c>
      <x:c r="F27" s="17" t="str">
        <x:v>旧40专题不是完整V5范围；与DEL全量交付域共同使用。</x:v>
      </x:c>
    </x:row>
    <x:row r="28" ht="75" customHeight="1">
      <x:c r="A28" s="17" t="str">
        <x:v>V5-024</x:v>
      </x:c>
      <x:c r="B28" s="17" t="str">
        <x:v>个人信息查询删除</x:v>
      </x:c>
      <x:c r="C28" s="17" t="str">
        <x:v>C</x:v>
      </x:c>
      <x:c r="D28" s="17" t="str">
        <x:v>无申请/复制/更正/删除请求和保留例外状态</x:v>
      </x:c>
      <x:c r="E28" s="17" t="str">
        <x:v>DEL-23</x:v>
      </x:c>
      <x:c r="F28" s="17" t="str">
        <x:v>旧40专题不是完整V5范围；与DEL全量交付域共同使用。</x:v>
      </x:c>
    </x:row>
    <x:row r="29" ht="75" customHeight="1">
      <x:c r="A29" s="17" t="str">
        <x:v>V5-025</x:v>
      </x:c>
      <x:c r="B29" s="17" t="str">
        <x:v>充值限额/冷静期</x:v>
      </x:c>
      <x:c r="C29" s="17" t="str">
        <x:v>C（D）</x:v>
      </x:c>
      <x:c r="D29" s="17" t="str">
        <x:v>无消费保护模型与服务端限额门禁；阈值待定</x:v>
      </x:c>
      <x:c r="E29" s="17" t="str">
        <x:v>DEL-17；DEL-23</x:v>
      </x:c>
      <x:c r="F29" s="17" t="str">
        <x:v>旧40专题不是完整V5范围；与DEL全量交付域共同使用。</x:v>
      </x:c>
    </x:row>
    <x:row r="30" ht="75" customHeight="1">
      <x:c r="A30" s="17" t="str">
        <x:v>V5-026</x:v>
      </x:c>
      <x:c r="B30" s="17" t="str">
        <x:v>休息提醒</x:v>
      </x:c>
      <x:c r="C30" s="17" t="str">
        <x:v>C</x:v>
      </x:c>
      <x:c r="D30" s="17" t="str">
        <x:v>无会话时长/偏好后端；部分可端侧实现，避免额外采集</x:v>
      </x:c>
      <x:c r="E30" s="17" t="str">
        <x:v>DEL-23</x:v>
      </x:c>
      <x:c r="F30" s="17" t="str">
        <x:v>旧40专题不是完整V5范围；与DEL全量交付域共同使用。</x:v>
      </x:c>
    </x:row>
    <x:row r="31" ht="75" customHeight="1">
      <x:c r="A31" s="17" t="str">
        <x:v>V5-027</x:v>
      </x:c>
      <x:c r="B31" s="17" t="str">
        <x:v>显隐式标识</x:v>
      </x:c>
      <x:c r="C31" s="17" t="str">
        <x:v>C（D）</x:v>
      </x:c>
      <x:c r="D31" s="17" t="str">
        <x:v>私有下载非标识流水；无导出保留/失败阻断记录</x:v>
      </x:c>
      <x:c r="E31" s="17" t="str">
        <x:v>DEL-06；DEL-24</x:v>
      </x:c>
      <x:c r="F31" s="17" t="str">
        <x:v>旧40专题不是完整V5范围；与DEL全量交付域共同使用。</x:v>
      </x:c>
    </x:row>
    <x:row r="32" ht="75" customHeight="1">
      <x:c r="A32" s="17" t="str">
        <x:v>V5-028</x:v>
      </x:c>
      <x:c r="B32" s="17" t="str">
        <x:v>举报/下架</x:v>
      </x:c>
      <x:c r="C32" s="17" t="str">
        <x:v>C</x:v>
      </x:c>
      <x:c r="D32" s="17" t="str">
        <x:v>有财务争议和评论隐藏，但无内容投诉案件/申诉/恢复闭环</x:v>
      </x:c>
      <x:c r="E32" s="17" t="str">
        <x:v>DEL-23</x:v>
      </x:c>
      <x:c r="F32" s="17" t="str">
        <x:v>旧40专题不是完整V5范围；与DEL全量交付域共同使用。</x:v>
      </x:c>
    </x:row>
    <x:row r="33" ht="75" customHeight="1">
      <x:c r="A33" s="17" t="str">
        <x:v>V5-029</x:v>
      </x:c>
      <x:c r="B33" s="17" t="str">
        <x:v>多模态审核</x:v>
      </x:c>
      <x:c r="C33" s="17" t="str">
        <x:v>B（D）</x:v>
      </x:c>
      <x:c r="D33" s="17" t="str">
        <x:v>人工CONTENT审核可用；未见新上传/发布接文本/图/音视频审核provider</x:v>
      </x:c>
      <x:c r="E33" s="17" t="str">
        <x:v>DEL-05；DEL-24</x:v>
      </x:c>
      <x:c r="F33" s="17" t="str">
        <x:v>旧40专题不是完整V5范围；与DEL全量交付域共同使用。</x:v>
      </x:c>
    </x:row>
    <x:row r="34" ht="75" customHeight="1">
      <x:c r="A34" s="17" t="str">
        <x:v>V5-030</x:v>
      </x:c>
      <x:c r="B34" s="17" t="str">
        <x:v>关闭推荐/退订</x:v>
      </x:c>
      <x:c r="C34" s="17" t="str">
        <x:v>C</x:v>
      </x:c>
      <x:c r="D34" s="17" t="str">
        <x:v>无偏好API和推荐回退策略；当前榜单本来按交易规则而非个性化</x:v>
      </x:c>
      <x:c r="E34" s="17" t="str">
        <x:v>DEL-23</x:v>
      </x:c>
      <x:c r="F34" s="17" t="str">
        <x:v>旧40专题不是完整V5范围；与DEL全量交付域共同使用。</x:v>
      </x:c>
    </x:row>
    <x:row r="35" ht="75" customHeight="1">
      <x:c r="A35" s="17" t="str">
        <x:v>V5-031</x:v>
      </x:c>
      <x:c r="B35" s="17" t="str">
        <x:v>SDK/PIA/日志</x:v>
      </x:c>
      <x:c r="C35" s="17" t="str">
        <x:v>C（D）</x:v>
      </x:c>
      <x:c r="D35" s="17" t="str">
        <x:v>有业务审计日志；无SDK/PIA资料与6月保留管理验收</x:v>
      </x:c>
      <x:c r="E35" s="17" t="str">
        <x:v>DEL-24；DEL-26</x:v>
      </x:c>
      <x:c r="F35" s="17" t="str">
        <x:v>旧40专题不是完整V5范围；与DEL全量交付域共同使用。</x:v>
      </x:c>
    </x:row>
    <x:row r="36" ht="75" customHeight="1">
      <x:c r="A36" s="17" t="str">
        <x:v>V5-032</x:v>
      </x:c>
      <x:c r="B36" s="17" t="str">
        <x:v>权属冲突</x:v>
      </x:c>
      <x:c r="C36" s="17" t="str">
        <x:v>B（D）</x:v>
      </x:c>
      <x:c r="D36" s="17" t="str">
        <x:v>六层权利、多方确认、合同快照可复用；合同种类和归属细则仍须确定</x:v>
      </x:c>
      <x:c r="E36" s="17" t="str">
        <x:v>DEL-03；DEL-05；DEL-13；DEL-25；DEL-27</x:v>
      </x:c>
      <x:c r="F36" s="17" t="str">
        <x:v>旧40专题不是完整V5范围；与DEL全量交付域共同使用。</x:v>
      </x:c>
    </x:row>
    <x:row r="37" ht="75" customHeight="1">
      <x:c r="A37" s="17" t="str">
        <x:v>V5-033</x:v>
      </x:c>
      <x:c r="B37" s="17" t="str">
        <x:v>试镜一口价</x:v>
      </x:c>
      <x:c r="C37" s="17" t="str">
        <x:v>C</x:v>
      </x:c>
      <x:c r="D37" s="17" t="str">
        <x:v>通用money可用但没有试镜业务，22%新分账算法也需改</x:v>
      </x:c>
      <x:c r="E37" s="17" t="str">
        <x:v>DEL-08；DEL-09</x:v>
      </x:c>
      <x:c r="F37" s="17" t="str">
        <x:v>旧40专题不是完整V5范围；与DEL全量交付域共同使用。</x:v>
      </x:c>
    </x:row>
    <x:row r="38" ht="75" customHeight="1">
      <x:c r="A38" s="17" t="str">
        <x:v>V5-034</x:v>
      </x:c>
      <x:c r="B38" s="17" t="str">
        <x:v>五Tab/条件会话</x:v>
      </x:c>
      <x:c r="C38" s="17" t="str">
        <x:v>B</x:v>
      </x:c>
      <x:c r="D38" s="17" t="str">
        <x:v>后端通知评论可复用；无单向信箱、订单会话资格/客服生命周期</x:v>
      </x:c>
      <x:c r="E38" s="17" t="str">
        <x:v>DEL-04；DEL-06；DEL-10；DEL-11；DEL-12；DEL-28</x:v>
      </x:c>
      <x:c r="F38" s="17" t="str">
        <x:v>旧40专题不是完整V5范围；与DEL全量交付域共同使用。</x:v>
      </x:c>
    </x:row>
    <x:row r="39" ht="75" customHeight="1">
      <x:c r="A39" s="17" t="str">
        <x:v>V5-035</x:v>
      </x:c>
      <x:c r="B39" s="17" t="str">
        <x:v>作者端后置</x:v>
      </x:c>
      <x:c r="C39" s="17" t="str">
        <x:v>B</x:v>
      </x:c>
      <x:c r="D39" s="17" t="str">
        <x:v>已有AUTHOR/供稿/许可；须限制自助开放并明确CMS代录权限</x:v>
      </x:c>
      <x:c r="E39" s="17" t="str">
        <x:v>DEL-13；DEL-28</x:v>
      </x:c>
      <x:c r="F39" s="17" t="str">
        <x:v>旧40专题不是完整V5范围；与DEL全量交付域共同使用。</x:v>
      </x:c>
    </x:row>
    <x:row r="40" ht="75" customHeight="1">
      <x:c r="A40" s="17" t="str">
        <x:v>V5-036</x:v>
      </x:c>
      <x:c r="B40" s="17" t="str">
        <x:v>风险开关</x:v>
      </x:c>
      <x:c r="C40" s="17" t="str">
        <x:v>B（D）</x:v>
      </x:c>
      <x:c r="D40" s="17" t="str">
        <x:v>provider按环境/证据门禁已有；新增抽奖/实名/储值能力必须接入，非单靠开关完成业务</x:v>
      </x:c>
      <x:c r="E40" s="17" t="str">
        <x:v>DEL-07；DEL-19；DEL-24；DEL-26</x:v>
      </x:c>
      <x:c r="F40" s="17" t="str">
        <x:v>旧40专题不是完整V5范围；与DEL全量交付域共同使用。</x:v>
      </x:c>
    </x:row>
    <x:row r="41" ht="75" customHeight="1">
      <x:c r="A41" s="17" t="str">
        <x:v>V5-037</x:v>
      </x:c>
      <x:c r="B41" s="17" t="str">
        <x:v>抽奖盈亏模型</x:v>
      </x:c>
      <x:c r="C41" s="17" t="str">
        <x:v>D</x:v>
      </x:c>
      <x:c r="D41" s="17" t="str">
        <x:v>情景假设/成本规则须财务定；当前无抽奖成本模型代码</x:v>
      </x:c>
      <x:c r="E41" s="17" t="str">
        <x:v>DEL-21</x:v>
      </x:c>
      <x:c r="F41" s="17" t="str">
        <x:v>旧40专题不是完整V5范围；与DEL全量交付域共同使用。</x:v>
      </x:c>
    </x:row>
    <x:row r="42" ht="75" customHeight="1">
      <x:c r="A42" s="17" t="str">
        <x:v>V5-038</x:v>
      </x:c>
      <x:c r="B42" s="17" t="str">
        <x:v>星探充值资格</x:v>
      </x:c>
      <x:c r="C42" s="17" t="str">
        <x:v>C（D）</x:v>
      </x:c>
      <x:c r="D42" s="17" t="str">
        <x:v>无买家充值/365天会员年/续期冻结恢复；持牌托管未验证</x:v>
      </x:c>
      <x:c r="E42" s="17" t="str">
        <x:v>DEL-17</x:v>
      </x:c>
      <x:c r="F42" s="17" t="str">
        <x:v>旧40专题不是完整V5范围；与DEL全量交付域共同使用。</x:v>
      </x:c>
    </x:row>
    <x:row r="43" ht="75" customHeight="1">
      <x:c r="A43" s="17" t="str">
        <x:v>V5-039</x:v>
      </x:c>
      <x:c r="B43" s="17" t="str">
        <x:v>光环L2/L3审核</x:v>
      </x:c>
      <x:c r="C43" s="17" t="str">
        <x:v>C（D）</x:v>
      </x:c>
      <x:c r="D43" s="17" t="str">
        <x:v>供给PROFILE人工审核非L2/L3付费认证；新认证/收费/补料/有效期及权益</x:v>
      </x:c>
      <x:c r="E43" s="17" t="str">
        <x:v>DEL-02</x:v>
      </x:c>
      <x:c r="F43" s="17" t="str">
        <x:v>旧40专题不是完整V5范围；与DEL全量交付域共同使用。</x:v>
      </x:c>
    </x:row>
    <x:row r="44" ht="75" customHeight="1">
      <x:c r="A44" s="17" t="str">
        <x:v>V5-040</x:v>
      </x:c>
      <x:c r="B44" s="17" t="str">
        <x:v>共创关系信息</x:v>
      </x:c>
      <x:c r="C44" s="17" t="str">
        <x:v>D（C）</x:v>
      </x:c>
      <x:c r="D44" s="17" t="str">
        <x:v>个人信息处理范围与合同决定；关系数据模型当前未建</x:v>
      </x:c>
      <x:c r="E44" s="17" t="str">
        <x:v>DEL-16；DEL-23</x:v>
      </x:c>
      <x:c r="F44" s="17" t="str">
        <x:v>旧40专题不是完整V5范围；与DEL全量交付域共同使用。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cd4e234584324531"/>
  </x:tableParts>
</x:worksheet>
</file>

<file path=xl/worksheets/sheet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33" hidden="0" customWidth="1"/>
    <x:col min="3" max="3" width="47" hidden="0" customWidth="1"/>
    <x:col min="4" max="4" width="52" hidden="0" customWidth="1"/>
    <x:col min="5" max="5" width="48" hidden="0" customWidth="1"/>
    <x:col min="6" max="6" width="34" hidden="0" customWidth="1"/>
    <x:col min="7" max="7" width="30" hidden="0" customWidth="1"/>
    <x:col min="8" max="8" width="32" hidden="0" customWidth="1"/>
    <x:col min="9" max="9" width="25" hidden="0" customWidth="1"/>
    <x:col min="10" max="10" width="42" hidden="0" customWidth="1"/>
  </x:cols>
  <x:sheetData>
    <x:row r="1" ht="30" customHeight="1">
      <x:c r="A1" s="3" t="str">
        <x:v>18项执行歧义｜不重问已定业务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6" customHeight="1">
      <x:c r="A2" s="7" t="str">
        <x:v>D1 / 2026-10-16 · PR23@25e6d29 · 此表为执行登记，不是完成率或生产通过证据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0" customHeight="1">
      <x:c r="A4" s="12" t="str">
        <x:v>编号</x:v>
      </x:c>
      <x:c r="B4" s="12" t="str">
        <x:v>事项</x:v>
      </x:c>
      <x:c r="C4" s="12" t="str">
        <x:v>来源冲突</x:v>
      </x:c>
      <x:c r="D4" s="12" t="str">
        <x:v>待补答案</x:v>
      </x:c>
      <x:c r="E4" s="12" t="str">
        <x:v>工作处理建议</x:v>
      </x:c>
      <x:c r="F4" s="12" t="str">
        <x:v>关闭节点</x:v>
      </x:c>
      <x:c r="G4" s="12" t="str">
        <x:v>责任岗位</x:v>
      </x:c>
      <x:c r="H4" s="12" t="str">
        <x:v>交付包</x:v>
      </x:c>
      <x:c r="I4" s="12" t="str">
        <x:v>状态</x:v>
      </x:c>
      <x:c r="J4" s="12" t="str">
        <x:v>正式结论</x:v>
      </x:c>
    </x:row>
    <x:row r="5" ht="75" customHeight="1">
      <x:c r="A5" s="17" t="str">
        <x:v>DEC-01</x:v>
      </x:c>
      <x:c r="B5" s="17" t="str">
        <x:v>制作金的样片适用范围</x:v>
      </x:c>
      <x:c r="C5" s="17" t="str">
        <x:v>V5 §2.13允许承制/定制片/样片；抽奖V2 §3和合规条款排除样片。</x:v>
      </x:c>
      <x:c r="D5" s="17" t="str">
        <x:v>明确“代做样片服务”和“现成视频”分别是否适用；不得把两种样片混为一类。</x:v>
      </x:c>
      <x:c r="E5" s="17" t="str">
        <x:v>以适用商品清单发布新版本；争议SKU不启用该券，不能默认选一份材料。</x:v>
      </x:c>
      <x:c r="F5" s="17" t="str">
        <x:v>券定义/收银适用范围发布前</x:v>
      </x:c>
      <x:c r="G5" s="17" t="str">
        <x:v>产品负责人＋商务/财务</x:v>
      </x:c>
      <x:c r="H5" s="17" t="str">
        <x:v>DEL-22；DEL-06；DEL-07</x:v>
      </x:c>
      <x:c r="I5" s="17" t="str">
        <x:v>待业务/专业核验</x:v>
      </x:c>
      <x:c r="J5" s="17"/>
    </x:row>
    <x:row r="6" ht="75" customHeight="1">
      <x:c r="A6" s="17" t="str">
        <x:v>DEC-02</x:v>
      </x:c>
      <x:c r="B6" s="17" t="str">
        <x:v>免单奖的价值与成本</x:v>
      </x:c>
      <x:c r="C6" s="17" t="str">
        <x:v>V5约1800元奖品价值；抽奖V2市场约3000、成本约1800。</x:v>
      </x:c>
      <x:c r="D6" s="17" t="str">
        <x:v>给出免单SKU、对外价值、平台履约成本、包含和排除费用。</x:v>
      </x:c>
      <x:c r="E6" s="17" t="str">
        <x:v>成本与售价/公示价值不同字段；不把生产成本当消费者奖品标价。</x:v>
      </x:c>
      <x:c r="F6" s="17" t="str">
        <x:v>奖池公示及免单发行前</x:v>
      </x:c>
      <x:c r="G6" s="17" t="str">
        <x:v>产品负责人＋财务</x:v>
      </x:c>
      <x:c r="H6" s="17" t="str">
        <x:v>DEL-21；DEL-22</x:v>
      </x:c>
      <x:c r="I6" s="17" t="str">
        <x:v>待业务/专业核验</x:v>
      </x:c>
      <x:c r="J6" s="17"/>
    </x:row>
    <x:row r="7" ht="75" customHeight="1">
      <x:c r="A7" s="17" t="str">
        <x:v>DEC-03</x:v>
      </x:c>
      <x:c r="B7" s="17" t="str">
        <x:v>付款与接受后开聊</x:v>
      </x:c>
      <x:c r="C7" s="17" t="str">
        <x:v>V5 §2.8写付款或接受；§2.10试镜/商单细表要求接受且对应款托管。</x:v>
      </x:c>
      <x:c r="D7" s="17" t="str">
        <x:v>核定各业务的会话、联系卡、客服入口三项门禁。</x:v>
      </x:c>
      <x:c r="E7" s="17" t="str">
        <x:v>按更具体的业务细表起草AND规则；把此解释入决议，不静默扩大成未付款即可聊。</x:v>
      </x:c>
      <x:c r="F7" s="17" t="str">
        <x:v>对应会话开放前</x:v>
      </x:c>
      <x:c r="G7" s="17" t="str">
        <x:v>产品负责人</x:v>
      </x:c>
      <x:c r="H7" s="17" t="str">
        <x:v>DEL-09；DEL-11；DEL-12</x:v>
      </x:c>
      <x:c r="I7" s="17" t="str">
        <x:v>待业务/专业核验</x:v>
      </x:c>
      <x:c r="J7" s="17"/>
    </x:row>
    <x:row r="8" ht="75" customHeight="1">
      <x:c r="A8" s="17" t="str">
        <x:v>DEC-04</x:v>
      </x:c>
      <x:c r="B8" s="17" t="str">
        <x:v>验收、售后和自动确认时钟</x:v>
      </x:c>
      <x:c r="C8" s="17" t="str">
        <x:v>V5 §5.6沿用48小时；§3.6现货约3天/定制约7天；专项另有售后7天。</x:v>
      </x:c>
      <x:c r="D8" s="17" t="str">
        <x:v>逐商品写交付起点、验收时限、售后时限、暂停/返修重计及清分触发。</x:v>
      </x:c>
      <x:c r="E8" s="17" t="str">
        <x:v>区分多个时钟；相同数字不表示同一义务；配置不全则不能自动确认。</x:v>
      </x:c>
      <x:c r="F8" s="17" t="str">
        <x:v>自动推进/扣费/清分启用前</x:v>
      </x:c>
      <x:c r="G8" s="17" t="str">
        <x:v>产品＋制作＋客服</x:v>
      </x:c>
      <x:c r="H8" s="17" t="str">
        <x:v>DEL-06；DEL-07；DEL-09；DEL-15</x:v>
      </x:c>
      <x:c r="I8" s="17" t="str">
        <x:v>待业务/专业核验</x:v>
      </x:c>
      <x:c r="J8" s="17"/>
    </x:row>
    <x:row r="9" ht="75" customHeight="1">
      <x:c r="A9" s="17" t="str">
        <x:v>DEC-05</x:v>
      </x:c>
      <x:c r="B9" s="17" t="str">
        <x:v>星探充值资格、年度周期与发布权限</x:v>
      </x:c>
      <x:c r="C9" s="17" t="str">
        <x:v>V5充值300是余额非会费；末尾残留会员费待定；新锐可发活动和铜牌活动门槛并存。</x:v>
      </x:c>
      <x:c r="D9" s="17" t="str">
        <x:v>正式规则表说明充值累计/退款、首年与续期周期、冻结恢复、每等级可发布类型。</x:v>
      </x:c>
      <x:c r="E9" s="17" t="str">
        <x:v>明确主体规则优先，不能另建额外会员费；一次充值不得被多个周期重复计入。</x:v>
      </x:c>
      <x:c r="F9" s="17" t="str">
        <x:v>正式充值及相关发布权限前</x:v>
      </x:c>
      <x:c r="G9" s="17" t="str">
        <x:v>产品＋运营＋支付责任人</x:v>
      </x:c>
      <x:c r="H9" s="17" t="str">
        <x:v>DEL-01；DEL-10；DEL-17</x:v>
      </x:c>
      <x:c r="I9" s="17" t="str">
        <x:v>待业务/专业核验</x:v>
      </x:c>
      <x:c r="J9" s="17"/>
    </x:row>
    <x:row r="10" ht="75" customHeight="1">
      <x:c r="A10" s="17" t="str">
        <x:v>DEC-06</x:v>
      </x:c>
      <x:c r="B10" s="17" t="str">
        <x:v>免费晶钻、累计获得与成长</x:v>
      </x:c>
      <x:c r="C10" s="17" t="str">
        <x:v>晶钻包含注册/签到等赠分；星探高阶又仅以真实消费成长。</x:v>
      </x:c>
      <x:c r="D10" s="17" t="str">
        <x:v>哪些来源增加可用分/累计获得/合格消费成长；退款、过期、抽奖返分怎样变化。</x:v>
      </x:c>
      <x:c r="E10" s="17" t="str">
        <x:v>同一晶钻账分来源和维度，不新增第二种可消费货币；赠分不得未经决定直接升星探级。</x:v>
      </x:c>
      <x:c r="F10" s="17" t="str">
        <x:v>积分发放及等级权益启用前</x:v>
      </x:c>
      <x:c r="G10" s="17" t="str">
        <x:v>产品＋财务</x:v>
      </x:c>
      <x:c r="H10" s="17" t="str">
        <x:v>DEL-18；DEL-17；DEL-19</x:v>
      </x:c>
      <x:c r="I10" s="17" t="str">
        <x:v>待业务/专业核验</x:v>
      </x:c>
      <x:c r="J10" s="17"/>
    </x:row>
    <x:row r="11" ht="75" customHeight="1">
      <x:c r="A11" s="17" t="str">
        <x:v>DEC-07</x:v>
      </x:c>
      <x:c r="B11" s="17" t="str">
        <x:v>共创人数权益与推荐费率</x:v>
      </x:c>
      <x:c r="C11" s="17" t="str">
        <x:v>V5共创10/20及KOC10%—15%；结算表共创10%；优惠锁定与退出不完整。</x:v>
      </x:c>
      <x:c r="D11" s="17" t="str">
        <x:v>人数在何时锁定；退出后优惠、未成团退款、发起人自购/推荐同时身份怎样处理；确定费率版本。</x:v>
      </x:c>
      <x:c r="E11" s="17" t="str">
        <x:v>先保持10/20既定机制，参数有来源；不借配置能力默认为15%。</x:v>
      </x:c>
      <x:c r="F11" s="17" t="str">
        <x:v>共创正式报价/优惠/返佣前</x:v>
      </x:c>
      <x:c r="G11" s="17" t="str">
        <x:v>产品＋商务＋财务</x:v>
      </x:c>
      <x:c r="H11" s="17" t="str">
        <x:v>DEL-08；DEL-16；DEL-20</x:v>
      </x:c>
      <x:c r="I11" s="17" t="str">
        <x:v>待业务/专业核验</x:v>
      </x:c>
      <x:c r="J11" s="17"/>
    </x:row>
    <x:row r="12" ht="75" customHeight="1">
      <x:c r="A12" s="17" t="str">
        <x:v>DEC-08</x:v>
      </x:c>
      <x:c r="B12" s="17" t="str">
        <x:v>人格权、数字资产与成果权属</x:v>
      </x:c>
      <x:c r="C12" s="17" t="str">
        <x:v>V5资产归艺人；定制片按合同；合规模板含制作方/平台成果归属。</x:v>
      </x:c>
      <x:c r="D12" s="17" t="str">
        <x:v>逐商品区分脸声、素材、外部模型服务权益、作品著作权和使用许可；代理范围独立。</x:v>
      </x:c>
      <x:c r="E12" s="17" t="str">
        <x:v>不声明所有AI产物天然属某方；按真实权利链填合同；新默认不得覆盖已签协议。</x:v>
      </x:c>
      <x:c r="F12" s="17" t="str">
        <x:v>相关正式签约/公开交易前</x:v>
      </x:c>
      <x:c r="G12" s="17" t="str">
        <x:v>业务责任人＋合同专业审查</x:v>
      </x:c>
      <x:c r="H12" s="17" t="str">
        <x:v>DEL-03；DEL-05；DEL-25；DEL-27</x:v>
      </x:c>
      <x:c r="I12" s="17" t="str">
        <x:v>待业务/专业核验</x:v>
      </x:c>
      <x:c r="J12" s="17"/>
    </x:row>
    <x:row r="13" ht="75" customHeight="1">
      <x:c r="A13" s="17" t="str">
        <x:v>DEC-09</x:v>
      </x:c>
      <x:c r="B13" s="17" t="str">
        <x:v>十连保底算法和有效概率</x:v>
      </x:c>
      <x:c r="C13" s="17" t="str">
        <x:v>单抽保底类合计23.25%，十连保底会改变独立抽样分布；现材料未选定正式算法。</x:v>
      </x:c>
      <x:c r="D13" s="17" t="str">
        <x:v>确定保底如何触发/替换、各奖有效概率与成本、库存不足/故障恢复规则。</x:v>
      </x:c>
      <x:c r="E13" s="17" t="str">
        <x:v>版本化服务端算法；发布相应概率，不把十次单抽当必中，也不让前端随机。</x:v>
      </x:c>
      <x:c r="F13" s="17" t="str">
        <x:v>正式抽奖发布前</x:v>
      </x:c>
      <x:c r="G13" s="17" t="str">
        <x:v>产品＋财务＋专业审查</x:v>
      </x:c>
      <x:c r="H13" s="17" t="str">
        <x:v>DEL-21；DEL-22</x:v>
      </x:c>
      <x:c r="I13" s="17" t="str">
        <x:v>待业务/专业核验</x:v>
      </x:c>
      <x:c r="J13" s="17"/>
    </x:row>
    <x:row r="14" ht="75" customHeight="1">
      <x:c r="A14" s="17" t="str">
        <x:v>DEC-10</x:v>
      </x:c>
      <x:c r="B14" s="17" t="str">
        <x:v>制作节点、付款与取消</x:v>
      </x:c>
      <x:c r="C14" s="17" t="str">
        <x:v>V5给30%→累计90%→10%、样片50/50，但正式成果和取消责任仍不完整。</x:v>
      </x:c>
      <x:c r="D14" s="17" t="str">
        <x:v>节点的成果、确认人、开工付款/放款条件；纠错与创意修改；部分履约取消依据。</x:v>
      </x:c>
      <x:c r="E14" s="17" t="str">
        <x:v>已定比例照录；待预览付款应是补至90%而非另付90%；完整约定快照。</x:v>
      </x:c>
      <x:c r="F14" s="17" t="str">
        <x:v>具体商品正式出售前</x:v>
      </x:c>
      <x:c r="G14" s="17" t="str">
        <x:v>制作＋商务＋客服</x:v>
      </x:c>
      <x:c r="H14" s="17" t="str">
        <x:v>DEL-07；DEL-15；DEL-27</x:v>
      </x:c>
      <x:c r="I14" s="17" t="str">
        <x:v>待业务/专业核验</x:v>
      </x:c>
      <x:c r="J14" s="17"/>
    </x:row>
    <x:row r="15" ht="75" customHeight="1">
      <x:c r="A15" s="17" t="str">
        <x:v>DEC-11</x:v>
      </x:c>
      <x:c r="B15" s="17" t="str">
        <x:v>年龄、监护与代理确认</x:v>
      </x:c>
      <x:c r="C15" s="17" t="str">
        <x:v>V5有成年人勾选，又要求年龄识别和监护；特殊权利人与代理范围未完整。</x:v>
      </x:c>
      <x:c r="D15" s="17" t="str">
        <x:v>真实核验来源、误识别申诉、监护代办、未成年露脸但成年人委托的边界。</x:v>
      </x:c>
      <x:c r="E15" s="17" t="str">
        <x:v>不以checkbox作为年龄证明；青少年显示模式开关不取消实际年龄限制。</x:v>
      </x:c>
      <x:c r="F15" s="17" t="str">
        <x:v>真人敏感处理及受限业务启用前</x:v>
      </x:c>
      <x:c r="G15" s="17" t="str">
        <x:v>产品＋身份服务商＋专业审查</x:v>
      </x:c>
      <x:c r="H15" s="17" t="str">
        <x:v>DEL-02；DEL-03；DEL-16；DEL-23</x:v>
      </x:c>
      <x:c r="I15" s="17" t="str">
        <x:v>待业务/专业核验</x:v>
      </x:c>
      <x:c r="J15" s="17"/>
    </x:row>
    <x:row r="16" ht="75" customHeight="1">
      <x:c r="A16" s="17" t="str">
        <x:v>DEC-12</x:v>
      </x:c>
      <x:c r="B16" s="17" t="str">
        <x:v>真实付款渠道与点数来源</x:v>
      </x:c>
      <x:c r="C16" s="17" t="str">
        <x:v>IAP点数到期约束仅在实际存在购买点数时适用；本项目未明示新增现金买晶钻SKU。</x:v>
      </x:c>
      <x:c r="D16" s="17" t="str">
        <x:v>每类商品在哪端通过何种真实渠道支付；实际点数来源/有效期如何兼容渠道。</x:v>
      </x:c>
      <x:c r="E16" s="17" t="str">
        <x:v>不因为规避风险就擅自新增现金买分；未配置渠道明确阻断而非假成功。</x:v>
      </x:c>
      <x:c r="F16" s="17" t="str">
        <x:v>真实客户端收银启用前</x:v>
      </x:c>
      <x:c r="G16" s="17" t="str">
        <x:v>业务＋支付服务商＋商店负责人</x:v>
      </x:c>
      <x:c r="H16" s="17" t="str">
        <x:v>DEL-07；DEL-17；DEL-18</x:v>
      </x:c>
      <x:c r="I16" s="17" t="str">
        <x:v>待业务/专业核验</x:v>
      </x:c>
      <x:c r="J16" s="17"/>
    </x:row>
    <x:row r="17" ht="75" customHeight="1">
      <x:c r="A17" s="17" t="str">
        <x:v>DEC-13</x:v>
      </x:c>
      <x:c r="B17" s="17" t="str">
        <x:v>限额、冷静期与注销流程</x:v>
      </x:c>
      <x:c r="C17" s="17" t="str">
        <x:v>V5限额/冷静期未给数值；15工作日为产品承诺，保留例外和请求类型须落地。</x:v>
      </x:c>
      <x:c r="D17" s="17" t="str">
        <x:v>单笔/日/月阈值、调高冷静期、误充处理；注销/删除受理、延期及异常说明。</x:v>
      </x:c>
      <x:c r="E17" s="17" t="str">
        <x:v>缺值不当作无限额；不声称15工作日是统一法定时限；不永久阻止所有数据权利。</x:v>
      </x:c>
      <x:c r="F17" s="17" t="str">
        <x:v>真实资金和权益处理前</x:v>
      </x:c>
      <x:c r="G17" s="17" t="str">
        <x:v>运营＋客服＋专业审查</x:v>
      </x:c>
      <x:c r="H17" s="17" t="str">
        <x:v>DEL-17；DEL-23</x:v>
      </x:c>
      <x:c r="I17" s="17" t="str">
        <x:v>待业务/专业核验</x:v>
      </x:c>
      <x:c r="J17" s="17"/>
    </x:row>
    <x:row r="18" ht="75" customHeight="1">
      <x:c r="A18" s="17" t="str">
        <x:v>DEC-14</x:v>
      </x:c>
      <x:c r="B18" s="17" t="str">
        <x:v>实际结算、准备金与未来收入</x:v>
      </x:c>
      <x:c r="C18" s="17" t="str">
        <x:v>当笔服务费与未来影视分红不同；退款追偿/风险准备金需真实提供者；成本毛利仍不自洽。</x:v>
      </x:c>
      <x:c r="D18" s="17" t="str">
        <x:v>付款机构支持范围、T+1含义、准备金责任和到账；渠道收入凭据与合同分配；成本核算单独。</x:v>
      </x:c>
      <x:c r="E18" s="17" t="str">
        <x:v>未来收入按实际账单到账处理；没有资金和账户依据不模拟垫付或清分成功。</x:v>
      </x:c>
      <x:c r="F18" s="17" t="str">
        <x:v>自动出款/退款垫付及收益承诺前</x:v>
      </x:c>
      <x:c r="G18" s="17" t="str">
        <x:v>财务＋商务＋支付服务商</x:v>
      </x:c>
      <x:c r="H18" s="17" t="str">
        <x:v>DEL-08；DEL-27</x:v>
      </x:c>
      <x:c r="I18" s="17" t="str">
        <x:v>待业务/专业核验</x:v>
      </x:c>
      <x:c r="J18" s="17"/>
    </x:row>
    <x:row r="19" ht="75" customHeight="1">
      <x:c r="A19" s="17" t="str">
        <x:v>DEC-15</x:v>
      </x:c>
      <x:c r="B19" s="17" t="str">
        <x:v>故事关系信息的用途和权利</x:v>
      </x:c>
      <x:c r="C19" s="17" t="str">
        <x:v>V5称共创关系归平台所有；个人信息用途与参与者可见范围不能靠归属表述解决。</x:v>
      </x:c>
      <x:c r="D19" s="17" t="str">
        <x:v>哪些关系必要采集、谁能查看、是否用于复购/推荐、撤回删除及监护规则。</x:v>
      </x:c>
      <x:c r="E19" s="17" t="str">
        <x:v>按明确目的、参与者权限和撤回流程设计；不能全房间公开私人故事。</x:v>
      </x:c>
      <x:c r="F19" s="17" t="str">
        <x:v>正式故事/关系采集与二次使用前</x:v>
      </x:c>
      <x:c r="G19" s="17" t="str">
        <x:v>产品＋隐私责任人</x:v>
      </x:c>
      <x:c r="H19" s="17" t="str">
        <x:v>DEL-14；DEL-16；DEL-23</x:v>
      </x:c>
      <x:c r="I19" s="17" t="str">
        <x:v>待业务/专业核验</x:v>
      </x:c>
      <x:c r="J19" s="17"/>
    </x:row>
    <x:row r="20" ht="75" customHeight="1">
      <x:c r="A20" s="17" t="str">
        <x:v>DEC-16</x:v>
      </x:c>
      <x:c r="B20" s="17" t="str">
        <x:v>面试、曝光与评选奖品的实际兑现</x:v>
      </x:c>
      <x:c r="C20" s="17" t="str">
        <x:v>专题规定面试卡、曝光7天及月冠军权益；具体批次/位置/补救未齐。</x:v>
      </x:c>
      <x:c r="D20" s="17" t="str">
        <x:v>可供面试的项目/期限；曝光位置与起止、重复奖处理；月冠军奖励及异议。</x:v>
      </x:c>
      <x:c r="E20" s="17" t="str">
        <x:v>付费投流未开不等于不用兑现曝光券；无可交付权益不能上奖池。</x:v>
      </x:c>
      <x:c r="F20" s="17" t="str">
        <x:v>奖品发行和活动发布前</x:v>
      </x:c>
      <x:c r="G20" s="17" t="str">
        <x:v>运营＋商务＋活动审核人</x:v>
      </x:c>
      <x:c r="H20" s="17" t="str">
        <x:v>DEL-19；DEL-21；DEL-22</x:v>
      </x:c>
      <x:c r="I20" s="17" t="str">
        <x:v>待业务/专业核验</x:v>
      </x:c>
      <x:c r="J20" s="17"/>
    </x:row>
    <x:row r="21" ht="75" customHeight="1">
      <x:c r="A21" s="17" t="str">
        <x:v>DEC-17</x:v>
      </x:c>
      <x:c r="B21" s="17" t="str">
        <x:v>创建、托管和套餐的服务单位</x:v>
      </x:c>
      <x:c r="C21" s="17" t="str">
        <x:v>60元创建、29元/月托管已定；同人多造型、失败重试、套餐次数及停费权益未完备。</x:v>
      </x:c>
      <x:c r="D21" s="17" t="str">
        <x:v>收费按人/资产/任务哪一层；失败返还；托管范围/续期/取消；套餐预占核销期限。</x:v>
      </x:c>
      <x:c r="E21" s="17" t="str">
        <x:v>按实际服务权益配置；失败创建不留虚假成功；停费与历史许可终止不同。</x:v>
      </x:c>
      <x:c r="F21" s="17" t="str">
        <x:v>服务SKU发布前</x:v>
      </x:c>
      <x:c r="G21" s="17" t="str">
        <x:v>产品＋制作＋服务商</x:v>
      </x:c>
      <x:c r="H21" s="17" t="str">
        <x:v>DEL-03；DEL-05；DEL-07</x:v>
      </x:c>
      <x:c r="I21" s="17" t="str">
        <x:v>待业务/专业核验</x:v>
      </x:c>
      <x:c r="J21" s="17"/>
    </x:row>
    <x:row r="22" ht="75" customHeight="1">
      <x:c r="A22" s="17" t="str">
        <x:v>DEC-18</x:v>
      </x:c>
      <x:c r="B22" s="17" t="str">
        <x:v>MCN工作台与全平台CMS权限</x:v>
      </x:c>
      <x:c r="C22" s="17" t="str">
        <x:v>V5 §5.1把采集字段/节日配置写进MCN/卖家后台一行；正文归平台运营。</x:v>
      </x:c>
      <x:c r="D22" s="17" t="str">
        <x:v>确认模板/奖池/全局规则归平台；MCN仅维护自己的作品/商品/授权与订单。</x:v>
      </x:c>
      <x:c r="E22" s="17" t="str">
        <x:v>按最小权限起草；可复用组件，不把全局运营权限授给所有MCN。</x:v>
      </x:c>
      <x:c r="F22" s="17" t="str">
        <x:v>相关配置写接口与管理端开放前</x:v>
      </x:c>
      <x:c r="G22" s="17" t="str">
        <x:v>产品负责人＋运营</x:v>
      </x:c>
      <x:c r="H22" s="17" t="str">
        <x:v>DEL-25；DEL-26</x:v>
      </x:c>
      <x:c r="I22" s="17" t="str">
        <x:v>待业务/专业核验</x:v>
      </x:c>
      <x:c r="J22" s="17"/>
    </x:row>
  </x:sheetData>
  <x:mergeCells>
    <x:mergeCell ref="A1:J1"/>
    <x:mergeCell ref="A2:J2"/>
  </x:mergeCells>
  <x:dataValidations count="1">
    <x:dataValidation type="list" sqref="I5:I22">
      <x:formula1>"待业务/专业核验,已确认待落地,已按版本生效,后置,不适用"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c3f261156184a33"/>
  </x:tableParts>
</x:worksheet>
</file>

<file path=xl/worksheets/sheet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36" hidden="0" customWidth="1"/>
    <x:col min="3" max="3" width="59" hidden="0" customWidth="1"/>
    <x:col min="4" max="4" width="36" hidden="0" customWidth="1"/>
    <x:col min="5" max="5" width="41" hidden="0" customWidth="1"/>
    <x:col min="6" max="6" width="34" hidden="0" customWidth="1"/>
    <x:col min="7" max="7" width="20" hidden="0" customWidth="1"/>
  </x:cols>
  <x:sheetData>
    <x:row r="1" ht="30" customHeight="1">
      <x:c r="A1" s="3" t="str">
        <x:v>7组实际证据｜代码完成不等于服务可用</x:v>
      </x:c>
      <x:c r="B1" s="3"/>
      <x:c r="C1" s="3"/>
      <x:c r="D1" s="3"/>
      <x:c r="E1" s="3"/>
      <x:c r="F1" s="3"/>
      <x:c r="G1" s="3"/>
    </x:row>
    <x:row r="2" ht="26" customHeight="1">
      <x:c r="A2" s="7" t="str">
        <x:v>D1 / 2026-10-16 · PR23@25e6d29 · 此表为执行登记，不是完成率或生产通过证据</x:v>
      </x:c>
      <x:c r="B2" s="7"/>
      <x:c r="C2" s="7"/>
      <x:c r="D2" s="7"/>
      <x:c r="E2" s="7"/>
      <x:c r="F2" s="7"/>
      <x:c r="G2" s="7"/>
    </x:row>
    <x:row r="4" ht="30" customHeight="1">
      <x:c r="A4" s="12" t="str">
        <x:v>编号</x:v>
      </x:c>
      <x:c r="B4" s="12" t="str">
        <x:v>事项</x:v>
      </x:c>
      <x:c r="C4" s="12" t="str">
        <x:v>需要的真实证据</x:v>
      </x:c>
      <x:c r="D4" s="12" t="str">
        <x:v>影响工作</x:v>
      </x:c>
      <x:c r="E4" s="12" t="str">
        <x:v>当前状态</x:v>
      </x:c>
      <x:c r="F4" s="12" t="str">
        <x:v>责任人</x:v>
      </x:c>
      <x:c r="G4" s="12" t="str">
        <x:v>生产已启用</x:v>
      </x:c>
    </x:row>
    <x:row r="5" ht="75" customHeight="1">
      <x:c r="A5" s="17" t="str">
        <x:v>EXT-01</x:v>
      </x:c>
      <x:c r="B5" s="17" t="str">
        <x:v>实名、年龄与监护核验</x:v>
      </x:c>
      <x:c r="C5" s="17" t="str">
        <x:v>实际开通产品、身份与年龄结果格式、错误/补件/申诉、费用、测试账户和可用证据。</x:v>
      </x:c>
      <x:c r="D5" s="17" t="str">
        <x:v>DEL-02；DEL-03；DEL-09；DEL-17</x:v>
      </x:c>
      <x:c r="E5" s="17" t="str">
        <x:v>本轮未取得新的生产验证证据</x:v>
      </x:c>
      <x:c r="F5" s="17" t="str">
        <x:v>待业务指定实际负责人</x:v>
      </x:c>
      <x:c r="G5" s="17" t="str">
        <x:v>否</x:v>
      </x:c>
    </x:row>
    <x:row r="6" ht="75" customHeight="1">
      <x:c r="A6" s="17" t="str">
        <x:v>EXT-02</x:v>
      </x:c>
      <x:c r="B6" s="17" t="str">
        <x:v>长期数字人、存储及删除</x:v>
      </x:c>
      <x:c r="C6" s="17" t="str">
        <x:v>真实长期模型/资产引用与复用质量；私有对象存储、上传大小/删除/到期；供应商素材用途和删除结果。</x:v>
      </x:c>
      <x:c r="D6" s="17" t="str">
        <x:v>DEL-03；DEL-04；DEL-24</x:v>
      </x:c>
      <x:c r="E6" s="17" t="str">
        <x:v>本轮未取得新的生产验证证据</x:v>
      </x:c>
      <x:c r="F6" s="17" t="str">
        <x:v>待业务指定实际负责人</x:v>
      </x:c>
      <x:c r="G6" s="17" t="str">
        <x:v>否</x:v>
      </x:c>
    </x:row>
    <x:row r="7" ht="75" customHeight="1">
      <x:c r="A7" s="17" t="str">
        <x:v>EXT-03</x:v>
      </x:c>
      <x:c r="B7" s="17" t="str">
        <x:v>逐商品收银、托管、分账与退款</x:v>
      </x:c>
      <x:c r="C7" s="17" t="str">
        <x:v>支付宝/Apple等真实商品路径；储值是否支持、多主体账户准入、分阶段放款、退款追偿、回调验签、对账与费率。</x:v>
      </x:c>
      <x:c r="D7" s="17" t="str">
        <x:v>DEL-06；DEL-07；DEL-08；DEL-09；DEL-17</x:v>
      </x:c>
      <x:c r="E7" s="17" t="str">
        <x:v>本轮未取得新的生产验证证据</x:v>
      </x:c>
      <x:c r="F7" s="17" t="str">
        <x:v>待业务指定实际负责人</x:v>
      </x:c>
      <x:c r="G7" s="17" t="str">
        <x:v>否</x:v>
      </x:c>
    </x:row>
    <x:row r="8" ht="75" customHeight="1">
      <x:c r="A8" s="17" t="str">
        <x:v>EXT-04</x:v>
      </x:c>
      <x:c r="B8" s="17" t="str">
        <x:v>内容审核、显隐标识与SDK</x:v>
      </x:c>
      <x:c r="C8" s="17" t="str">
        <x:v>文本图片音视频接口、人工复核；转码导出标识证据；SDK准确版本、权限、用途和处理清单。</x:v>
      </x:c>
      <x:c r="D8" s="17" t="str">
        <x:v>DEL-05；DEL-24</x:v>
      </x:c>
      <x:c r="E8" s="17" t="str">
        <x:v>本轮未取得新的生产验证证据</x:v>
      </x:c>
      <x:c r="F8" s="17" t="str">
        <x:v>待业务指定实际负责人</x:v>
      </x:c>
      <x:c r="G8" s="17" t="str">
        <x:v>否</x:v>
      </x:c>
    </x:row>
    <x:row r="9" ht="75" customHeight="1">
      <x:c r="A9" s="17" t="str">
        <x:v>EXT-05</x:v>
      </x:c>
      <x:c r="B9" s="17" t="str">
        <x:v>合同、实际财税与发行渠道</x:v>
      </x:c>
      <x:c r="C9" s="17" t="str">
        <x:v>逐交易相对方/权利/开票/收款；正式电子签证据；收入归属、频道账单及到账，不把测算自动变成经营事实。</x:v>
      </x:c>
      <x:c r="D9" s="17" t="str">
        <x:v>DEL-08；DEL-13；DEL-15；DEL-27</x:v>
      </x:c>
      <x:c r="E9" s="17" t="str">
        <x:v>本轮未取得新的生产验证证据</x:v>
      </x:c>
      <x:c r="F9" s="17" t="str">
        <x:v>待业务指定实际负责人</x:v>
      </x:c>
      <x:c r="G9" s="17" t="str">
        <x:v>否</x:v>
      </x:c>
    </x:row>
    <x:row r="10" ht="75" customHeight="1">
      <x:c r="A10" s="17" t="str">
        <x:v>EXT-06</x:v>
      </x:c>
      <x:c r="B10" s="17" t="str">
        <x:v>抽奖及其他活动发布条件</x:v>
      </x:c>
      <x:c r="C10" s="17" t="str">
        <x:v>正式概率/保底/成本与法务复核；真实奖品批次、库存、可用场次、曝光资源、未成年人/退款/投诉及补救规则。</x:v>
      </x:c>
      <x:c r="D10" s="17" t="str">
        <x:v>DEL-19；DEL-21；DEL-22</x:v>
      </x:c>
      <x:c r="E10" s="17" t="str">
        <x:v>本轮未取得新的生产验证证据</x:v>
      </x:c>
      <x:c r="F10" s="17" t="str">
        <x:v>待业务指定实际负责人</x:v>
      </x:c>
      <x:c r="G10" s="17" t="str">
        <x:v>否</x:v>
      </x:c>
    </x:row>
    <x:row r="11" ht="75" customHeight="1">
      <x:c r="A11" s="17" t="str">
        <x:v>EXT-07</x:v>
      </x:c>
      <x:c r="B11" s="17" t="str">
        <x:v>隐私、实际资质与发布</x:v>
      </x:c>
      <x:c r="C11" s="17" t="str">
        <x:v>申请/撤回/删除处置与留存依据；实际主体和业务的资质适用性；正式签名、商店和部署授权。</x:v>
      </x:c>
      <x:c r="D11" s="17" t="str">
        <x:v>DEL-23；DEL-24；DEL-29</x:v>
      </x:c>
      <x:c r="E11" s="17" t="str">
        <x:v>本轮未取得新的生产验证证据</x:v>
      </x:c>
      <x:c r="F11" s="17" t="str">
        <x:v>待业务指定实际负责人</x:v>
      </x:c>
      <x:c r="G11" s="17" t="str">
        <x:v>否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24e6c41db15d4671"/>
  </x:tableParts>
</x:worksheet>
</file>

<file path=xl/worksheets/sheet1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8" hidden="0" customWidth="1"/>
    <x:col min="2" max="2" width="24" hidden="0" customWidth="1"/>
    <x:col min="3" max="3" width="62" hidden="0" customWidth="1"/>
    <x:col min="4" max="4" width="54" hidden="0" customWidth="1"/>
    <x:col min="5" max="5" width="22" hidden="0" customWidth="1"/>
  </x:cols>
  <x:sheetData>
    <x:row r="1" ht="30" customHeight="1">
      <x:c r="A1" s="3" t="str">
        <x:v>队友19组业务判断｜本轮只更新证据适用性</x:v>
      </x:c>
      <x:c r="B1" s="3"/>
      <x:c r="C1" s="3"/>
      <x:c r="D1" s="3"/>
      <x:c r="E1" s="3"/>
    </x:row>
    <x:row r="2" ht="26" customHeight="1">
      <x:c r="A2" s="7" t="str">
        <x:v>D1 / 2026-10-16 · PR23@25e6d29 · 此表为执行登记，不是完成率或生产通过证据</x:v>
      </x:c>
      <x:c r="B2" s="7"/>
      <x:c r="C2" s="7"/>
      <x:c r="D2" s="7"/>
      <x:c r="E2" s="7"/>
    </x:row>
    <x:row r="4" ht="30" customHeight="1">
      <x:c r="A4" s="12" t="str">
        <x:v>业务组</x:v>
      </x:c>
      <x:c r="B4" s="12" t="str">
        <x:v>判断</x:v>
      </x:c>
      <x:c r="C4" s="12" t="str">
        <x:v>具体发现</x:v>
      </x:c>
      <x:c r="D4" s="12" t="str">
        <x:v>证据基线</x:v>
      </x:c>
      <x:c r="E4" s="12" t="str">
        <x:v>本轮独立重跑</x:v>
      </x:c>
    </x:row>
    <x:row r="5" ht="75" customHeight="1">
      <x:c r="A5" s="17" t="str">
        <x:v>账号、短信登录、机构成员、办事身份</x:v>
      </x:c>
      <x:c r="B5" s="17" t="str">
        <x:v>已具备基础</x:v>
      </x:c>
      <x:c r="C5" s="17" t="str">
        <x:v>当前 AccountSession / AccountPage 已接真实接口；无需重写一套账号系统。实名与艺人认证另算。</x:v>
      </x:c>
      <x:c r="D5" s="17" t="str">
        <x:v>队友2026-10-14于f8d506d审阅；本轮确认至25e6d29仅文档变化</x:v>
      </x:c>
      <x:c r="E5" s="17" t="str">
        <x:v>否</x:v>
      </x:c>
    </x:row>
    <x:row r="6" ht="75" customHeight="1">
      <x:c r="A6" s="17" t="str">
        <x:v>合同、规则快照、许可材料和历史读取</x:v>
      </x:c>
      <x:c r="B6" s="17" t="str">
        <x:v>已具备基础</x:v>
      </x:c>
      <x:c r="C6" s="17" t="str">
        <x:v>当前合同和 licensing 页面可以沿用；应把剧本许可和视频成片许可区分。</x:v>
      </x:c>
      <x:c r="D6" s="17" t="str">
        <x:v>队友2026-10-14于f8d506d审阅；本轮确认至25e6d29仅文档变化</x:v>
      </x:c>
      <x:c r="E6" s="17" t="str">
        <x:v>否</x:v>
      </x:c>
    </x:row>
    <x:row r="7" ht="75" customHeight="1">
      <x:c r="A7" s="17" t="str">
        <x:v>报价、订单、退款、结算记录</x:v>
      </x:c>
      <x:c r="B7" s="17" t="str">
        <x:v>已具备基础</x:v>
      </x:c>
      <x:c r="C7" s="17" t="str">
        <x:v>现有 trade / finance 页面与接口是真实接线；客户端尚不能实际支付，不能计为消费闭环。</x:v>
      </x:c>
      <x:c r="D7" s="17" t="str">
        <x:v>队友2026-10-14于f8d506d审阅；本轮确认至25e6d29仅文档变化</x:v>
      </x:c>
      <x:c r="E7" s="17" t="str">
        <x:v>否</x:v>
      </x:c>
    </x:row>
    <x:row r="8" ht="75" customHeight="1">
      <x:c r="A8" s="17" t="str">
        <x:v>App 主导航和个人业务聚合</x:v>
      </x:c>
      <x:c r="B8" s="17" t="str">
        <x:v>部分重构</x:v>
      </x:c>
      <x:c r="C8" s="17" t="str">
        <x:v>稳定底栏、返回、登录/深链可复用；旧五 Tab 和旧页面组织必须改。</x:v>
      </x:c>
      <x:c r="D8" s="17" t="str">
        <x:v>队友2026-10-14于f8d506d审阅；本轮确认至25e6d29仅文档变化</x:v>
      </x:c>
      <x:c r="E8" s="17" t="str">
        <x:v>否</x:v>
      </x:c>
    </x:row>
    <x:row r="9" ht="75" customHeight="1">
      <x:c r="A9" s="17" t="str">
        <x:v>真人制作、版本反馈、验收、受控下载</x:v>
      </x:c>
      <x:c r="B9" s="17" t="str">
        <x:v>部分重构</x:v>
      </x:c>
      <x:c r="C9" s="17" t="str">
        <x:v>已有派单/版本/反馈/验收/下载；补故事采集、品类、工单呈现和外部承制责任。</x:v>
      </x:c>
      <x:c r="D9" s="17" t="str">
        <x:v>队友2026-10-14于f8d506d审阅；本轮确认至25e6d29仅文档变化</x:v>
      </x:c>
      <x:c r="E9" s="17" t="str">
        <x:v>否</x:v>
      </x:c>
    </x:row>
    <x:row r="10" ht="75" customHeight="1">
      <x:c r="A10" s="17" t="str">
        <x:v>六类通告、演出记录、投稿/意向</x:v>
      </x:c>
      <x:c r="B10" s="17" t="str">
        <x:v>部分重构</x:v>
      </x:c>
      <x:c r="C10" s="17" t="str">
        <x:v>公开项目角色、商单需求/提案是基础，但六类通告聚合、星探发布资格、单向投稿和客服转单不存在完整闭环。</x:v>
      </x:c>
      <x:c r="D10" s="17" t="str">
        <x:v>队友2026-10-14于f8d506d审阅；本轮确认至25e6d29仅文档变化</x:v>
      </x:c>
      <x:c r="E10" s="17" t="str">
        <x:v>否</x:v>
      </x:c>
    </x:row>
    <x:row r="11" ht="75" customHeight="1">
      <x:c r="A11" s="17" t="str">
        <x:v>消息中心、订单双向会话与客服</x:v>
      </x:c>
      <x:c r="B11" s="17" t="str">
        <x:v>部分重构</x:v>
      </x:c>
      <x:c r="C11" s="17" t="str">
        <x:v>已有业务通知、已读和对象内纯文本留言；缺会话列表、意向信箱、条件开通、客服接管与归档。</x:v>
      </x:c>
      <x:c r="D11" s="17" t="str">
        <x:v>队友2026-10-14于f8d506d审阅；本轮确认至25e6d29仅文档变化</x:v>
      </x:c>
      <x:c r="E11" s="17" t="str">
        <x:v>否</x:v>
      </x:c>
    </x:row>
    <x:row r="12" ht="75" customHeight="1">
      <x:c r="A12" s="17" t="str">
        <x:v>MCN 独立 PC 业务区</x:v>
      </x:c>
      <x:c r="B12" s="17" t="str">
        <x:v>部分重构</x:v>
      </x:c>
      <x:c r="C12" s="17" t="str">
        <x:v>机构、直接合作、佣金已有；多艺人代管、批量上架、分单、评论客服和完整机构看板仍需开发。</x:v>
      </x:c>
      <x:c r="D12" s="17" t="str">
        <x:v>队友2026-10-14于f8d506d审阅；本轮确认至25e6d29仅文档变化</x:v>
      </x:c>
      <x:c r="E12" s="17" t="str">
        <x:v>否</x:v>
      </x:c>
    </x:row>
    <x:row r="13" ht="75" customHeight="1">
      <x:c r="A13" s="17" t="str">
        <x:v>A 端运营 CMS</x:v>
      </x:c>
      <x:c r="B13" s="17" t="str">
        <x:v>部分重构</x:v>
      </x:c>
      <x:c r="C13" s="17" t="str">
        <x:v>独立审核、商品规格、项目、财务、报表与审计已有；缺内容运营、动态采集、奖池卡券、隐私工单等。</x:v>
      </x:c>
      <x:c r="D13" s="17" t="str">
        <x:v>队友2026-10-14于f8d506d审阅；本轮确认至25e6d29仅文档变化</x:v>
      </x:c>
      <x:c r="E13" s="17" t="str">
        <x:v>否</x:v>
      </x:c>
    </x:row>
    <x:row r="14" ht="75" customHeight="1">
      <x:c r="A14" s="17" t="str">
        <x:v>广场艺人发现、档案、筛选</x:v>
      </x:c>
      <x:c r="B14" s="17" t="str">
        <x:v>基本新增</x:v>
      </x:c>
      <x:c r="C14" s="17" t="str">
        <x:v>当前发现页明确“公开人物目录暂未开放”，不等于原型里的艺人广场。</x:v>
      </x:c>
      <x:c r="D14" s="17" t="str">
        <x:v>队友2026-10-14于f8d506d审阅；本轮确认至25e6d29仅文档变化</x:v>
      </x:c>
      <x:c r="E14" s="17" t="str">
        <x:v>否</x:v>
      </x:c>
    </x:row>
    <x:row r="15" ht="75" customHeight="1">
      <x:c r="A15" s="17" t="str">
        <x:v>试镜中心和线下履约</x:v>
      </x:c>
      <x:c r="B15" s="17" t="str">
        <x:v>基本新增</x:v>
      </x:c>
      <x:c r="C15" s="17" t="str">
        <x:v>当前 /audition 被映射到公开项目 Tab；公开接单/标价、LBS、邀约/拒单退款、履约确认与取样入库均须形成新业务链。</x:v>
      </x:c>
      <x:c r="D15" s="17" t="str">
        <x:v>队友2026-10-14于f8d506d审阅；本轮确认至25e6d29仅文档变化</x:v>
      </x:c>
      <x:c r="E15" s="17" t="str">
        <x:v>否</x:v>
      </x:c>
    </x:row>
    <x:row r="16" ht="75" customHeight="1">
      <x:c r="A16" s="17" t="str">
        <x:v>多数字人、声音/造型版本、公开资料</x:v>
      </x:c>
      <x:c r="B16" s="17" t="str">
        <x:v>基本新增</x:v>
      </x:c>
      <x:c r="C16" s="17" t="str">
        <x:v>后端 AVATAR/CONSENT 可被商单提案选择，但 App 管理入口是未开放页。</x:v>
      </x:c>
      <x:c r="D16" s="17" t="str">
        <x:v>队友2026-10-14于f8d506d审阅；本轮确认至25e6d29仅文档变化</x:v>
      </x:c>
      <x:c r="E16" s="17" t="str">
        <x:v>否</x:v>
      </x:c>
    </x:row>
    <x:row r="17" ht="75" customHeight="1">
      <x:c r="A17" s="17" t="str">
        <x:v>主角光环/实名/付费认证/好评成长</x:v>
      </x:c>
      <x:c r="B17" s="17" t="str">
        <x:v>基本新增</x:v>
      </x:c>
      <x:c r="C17" s="17" t="str">
        <x:v>账号能力申请不是实名审核和艺人分层认证；缺材料提交、审核费、状态、评价与增长页面。</x:v>
      </x:c>
      <x:c r="D17" s="17" t="str">
        <x:v>队友2026-10-14于f8d506d审阅；本轮确认至25e6d29仅文档变化</x:v>
      </x:c>
      <x:c r="E17" s="17" t="str">
        <x:v>否</x:v>
      </x:c>
    </x:row>
    <x:row r="18" ht="75" customHeight="1">
      <x:c r="A18" s="17" t="str">
        <x:v>星探、六级成长、余额及城市出品人榜</x:v>
      </x:c>
      <x:c r="B18" s="17" t="str">
        <x:v>基本新增</x:v>
      </x:c>
      <x:c r="C18" s="17" t="str">
        <x:v>当前只有商单交易榜单快照，不是星探账户、会员年续期或消费成长。</x:v>
      </x:c>
      <x:c r="D18" s="17" t="str">
        <x:v>队友2026-10-14于f8d506d审阅；本轮确认至25e6d29仅文档变化</x:v>
      </x:c>
      <x:c r="E18" s="17" t="str">
        <x:v>否</x:v>
      </x:c>
    </x:row>
    <x:row r="19" ht="75" customHeight="1">
      <x:c r="A19" s="17" t="str">
        <x:v>现成视频商品信息流和即时购买许可</x:v>
      </x:c>
      <x:c r="B19" s="17" t="str">
        <x:v>基本新增</x:v>
      </x:c>
      <x:c r="C19" s="17" t="str">
        <x:v>旧 video 路由进入制作项目，现有剧本许可/报价订单不能作为视频现货购买闭环。</x:v>
      </x:c>
      <x:c r="D19" s="17" t="str">
        <x:v>队友2026-10-14于f8d506d审阅；本轮确认至25e6d29仅文档变化</x:v>
      </x:c>
      <x:c r="E19" s="17" t="str">
        <x:v>否</x:v>
      </x:c>
    </x:row>
    <x:row r="20" ht="75" customHeight="1">
      <x:c r="A20" s="17" t="str">
        <x:v>定制品类和动态故事采集</x:v>
      </x:c>
      <x:c r="B20" s="17" t="str">
        <x:v>基本新增</x:v>
      </x:c>
      <x:c r="C20" s="17" t="str">
        <x:v>通用制作反馈可复用；品类、字段模板、草稿、补件、正式提交和报价关联为新业务页面。</x:v>
      </x:c>
      <x:c r="D20" s="17" t="str">
        <x:v>队友2026-10-14于f8d506d审阅；本轮确认至25e6d29仅文档变化</x:v>
      </x:c>
      <x:c r="E20" s="17" t="str">
        <x:v>否</x:v>
      </x:c>
    </x:row>
    <x:row r="21" ht="75" customHeight="1">
      <x:c r="A21" s="17" t="str">
        <x:v>共创房间、邀请及 10/20 人权益</x:v>
      </x:c>
      <x:c r="B21" s="17" t="str">
        <x:v>基本新增</x:v>
      </x:c>
      <x:c r="C21" s="17" t="str">
        <x:v>当前公开项目报名/阵容不能替代真实权利人去重和共创授权。</x:v>
      </x:c>
      <x:c r="D21" s="17" t="str">
        <x:v>队友2026-10-14于f8d506d审阅；本轮确认至25e6d29仅文档变化</x:v>
      </x:c>
      <x:c r="E21" s="17" t="str">
        <x:v>否</x:v>
      </x:c>
    </x:row>
    <x:row r="22" ht="75" customHeight="1">
      <x:c r="A22" s="17" t="str">
        <x:v>晶钻抽奖、制作金、面试卡及核销</x:v>
      </x:c>
      <x:c r="B22" s="17" t="str">
        <x:v>基本新增</x:v>
      </x:c>
      <x:c r="C22" s="17" t="str">
        <x:v>活跃前端无相应路由、模型、API。</x:v>
      </x:c>
      <x:c r="D22" s="17" t="str">
        <x:v>队友2026-10-14于f8d506d审阅；本轮确认至25e6d29仅文档变化</x:v>
      </x:c>
      <x:c r="E22" s="17" t="str">
        <x:v>否</x:v>
      </x:c>
    </x:row>
    <x:row r="23" ht="75" customHeight="1">
      <x:c r="A23" s="17" t="str">
        <x:v>隐私权益、青少年、推荐关闭等</x:v>
      </x:c>
      <x:c r="B23" s="17" t="str">
        <x:v>基本新增</x:v>
      </x:c>
      <x:c r="C23" s="17" t="str">
        <x:v>当前设置页只有协议、隐私政策和账号机构；历史设置页中的本地开关未被当前 App 使用。</x:v>
      </x:c>
      <x:c r="D23" s="17" t="str">
        <x:v>队友2026-10-14于f8d506d审阅；本轮确认至25e6d29仅文档变化</x:v>
      </x:c>
      <x:c r="E23" s="17" t="str">
        <x:v>否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9b4f43b75e7141ce"/>
  </x:tableParts>
</x:worksheet>
</file>

<file path=xl/worksheets/sheet1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30" hidden="0" customWidth="1"/>
    <x:col min="3" max="3" width="65" hidden="0" customWidth="1"/>
    <x:col min="4" max="4" width="64" hidden="0" customWidth="1"/>
  </x:cols>
  <x:sheetData>
    <x:row r="1" ht="30" customHeight="1">
      <x:c r="A1" s="3" t="str">
        <x:v>固定提交与实时核验来源</x:v>
      </x:c>
      <x:c r="B1" s="3"/>
      <x:c r="C1" s="3"/>
      <x:c r="D1" s="3"/>
    </x:row>
    <x:row r="2" ht="26" customHeight="1">
      <x:c r="A2" s="7" t="str">
        <x:v>D1 / 2026-10-16 · PR23@25e6d29 · 此表为执行登记，不是完成率或生产通过证据</x:v>
      </x:c>
      <x:c r="B2" s="7"/>
      <x:c r="C2" s="7"/>
      <x:c r="D2" s="7"/>
    </x:row>
    <x:row r="4" ht="30" customHeight="1">
      <x:c r="A4" s="12" t="str">
        <x:v>编号</x:v>
      </x:c>
      <x:c r="B4" s="12" t="str">
        <x:v>核验内容</x:v>
      </x:c>
      <x:c r="C4" s="12" t="str">
        <x:v>来源URL</x:v>
      </x:c>
      <x:c r="D4" s="12" t="str">
        <x:v>本轮结论</x:v>
      </x:c>
    </x:row>
    <x:row r="5" ht="75" customHeight="1">
      <x:c r="A5" s="17" t="str">
        <x:v>REPO-01</x:v>
      </x:c>
      <x:c r="B5" s="17" t="str">
        <x:v>PR23事实</x:v>
      </x:c>
      <x:c r="C5" s="17" t="str">
        <x:v>https://github.com/Bill-Billion/jingjing/pull/23</x:v>
      </x:c>
      <x:c r="D5" s="17" t="str">
        <x:v>OPEN/Draft，目标integration，头25e6d29；标Ready写入被FORBIDDEN拒绝；未合并。</x:v>
      </x:c>
    </x:row>
    <x:row r="6" ht="75" customHeight="1">
      <x:c r="A6" s="17" t="str">
        <x:v>REPO-02</x:v>
      </x:c>
      <x:c r="B6" s="17" t="str">
        <x:v>审阅后差异</x:v>
      </x:c>
      <x:c r="C6" s="17" t="str">
        <x:v>https://github.com/Bill-Billion/jingjing/compare/f8d506dfbd4cd97f86519e51f9d7b795534e4c02...25e6d29f81fd882edc203b732a48fe90d15f8c9f</x:v>
      </x:c>
      <x:c r="D6" s="17" t="str">
        <x:v>仅两个提交14个docs文件；源码、接口和数据库未变。</x:v>
      </x:c>
    </x:row>
    <x:row r="7" ht="75" customHeight="1">
      <x:c r="A7" s="17" t="str">
        <x:v>REPO-03</x:v>
      </x:c>
      <x:c r="B7" s="17" t="str">
        <x:v>后端CI</x:v>
      </x:c>
      <x:c r="C7" s="17" t="str">
        <x:v>https://github.com/Bill-Billion/jingjing/actions/runs/38671221329</x:v>
      </x:c>
      <x:c r="D7" s="17" t="str">
        <x:v>头25e6d29，2个job成功；读取结果非本轮本地重跑。</x:v>
      </x:c>
    </x:row>
    <x:row r="8" ht="75" customHeight="1">
      <x:c r="A8" s="17" t="str">
        <x:v>REPO-04</x:v>
      </x:c>
      <x:c r="B8" s="17" t="str">
        <x:v>前端CI</x:v>
      </x:c>
      <x:c r="C8" s="17" t="str">
        <x:v>https://github.com/Bill-Billion/jingjing/actions/runs/38671221280</x:v>
      </x:c>
      <x:c r="D8" s="17" t="str">
        <x:v>头25e6d29，2个job成功；Flutter指定测试＋Web构建，Vue及隔离API浏览器。</x:v>
      </x:c>
    </x:row>
    <x:row r="9" ht="75" customHeight="1">
      <x:c r="A9" s="17" t="str">
        <x:v>CODE-01</x:v>
      </x:c>
      <x:c r="B9" s="17" t="str">
        <x:v>活跃旧导航</x:v>
      </x:c>
      <x:c r="C9" s="17" t="str">
        <x:v>https://github.com/Bill-Billion/jingjing/blob/25e6d29f81fd882edc203b732a48fe90d15f8c9f/晶晶日上工程交接包/01_源码/frontend_jingjingshangri_app/lib/navigation/app_shell.dart</x:v>
      </x:c>
      <x:c r="D9" s="17" t="str">
        <x:v>_labels仍首页/入戏/培育/成角/我的；改名还需重排页面与测试。</x:v>
      </x:c>
    </x:row>
    <x:row r="10" ht="75" customHeight="1">
      <x:c r="A10" s="17" t="str">
        <x:v>CODE-02</x:v>
      </x:c>
      <x:c r="B10" s="17" t="str">
        <x:v>旧分账计算</x:v>
      </x:c>
      <x:c r="C10" s="17" t="str">
        <x:v>https://github.com/Bill-Billion/jingjing/blob/25e6d29f81fd882edc203b732a48fe90d15f8c9f/晶晶日上工程交接包/01_源码/backend_server/src/modules/gigs/policy.js</x:v>
      </x:c>
      <x:c r="D10" s="17" t="str">
        <x:v>mcn_bps不得大于platform_bps；MCN从平台费用扣，不符V5供给侧分成。</x:v>
      </x:c>
    </x:row>
    <x:row r="11" ht="75" customHeight="1">
      <x:c r="A11" s="17" t="str">
        <x:v>CODE-03</x:v>
      </x:c>
      <x:c r="B11" s="17" t="str">
        <x:v>财务绑定旧算法</x:v>
      </x:c>
      <x:c r="C11" s="17" t="str">
        <x:v>https://github.com/Bill-Billion/jingjing/blob/25e6d29f81fd882edc203b732a48fe90d15f8c9f/晶晶日上工程交接包/01_源码/backend_server/src/modules/settlement/source.js</x:v>
      </x:c>
      <x:c r="D11" s="17" t="str">
        <x:v>validateRules/targets同样需按费率版本迁移。</x:v>
      </x:c>
    </x:row>
    <x:row r="12" ht="75" customHeight="1">
      <x:c r="A12" s="17" t="str">
        <x:v>CODE-04</x:v>
      </x:c>
      <x:c r="B12" s="17" t="str">
        <x:v>已有人工作业</x:v>
      </x:c>
      <x:c r="C12" s="17" t="str">
        <x:v>https://github.com/Bill-Billion/jingjing/blob/25e6d29f81fd882edc203b732a48fe90d15f8c9f/晶晶日上工程交接包/01_源码/backend_server/src/modules/production/repository.js</x:v>
      </x:c>
      <x:c r="D12" s="17" t="str">
        <x:v>受派人、独立审核、订单行、版本、反馈、下载相关结构已存在，需扩展非重造。</x:v>
      </x:c>
    </x:row>
    <x:row r="13" ht="75" customHeight="1">
      <x:c r="A13" s="17" t="str">
        <x:v>CODE-05</x:v>
      </x:c>
      <x:c r="B13" s="17" t="str">
        <x:v>旧协作入口</x:v>
      </x:c>
      <x:c r="C13" s="17" t="str">
        <x:v>https://github.com/Bill-Billion/jingjing/blob/25e6d29f81fd882edc203b732a48fe90d15f8c9f/AGENTS.md</x:v>
      </x:c>
      <x:c r="D13" s="17" t="str">
        <x:v>旧业务导航段需迁移，保留直白中文、阶段集中推送、跨流实际审核等治理要求。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e1459c032a064360"/>
  </x:tableParts>
</x:worksheet>
</file>