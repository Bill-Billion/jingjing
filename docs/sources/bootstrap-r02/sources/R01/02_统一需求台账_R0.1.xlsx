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c8ff5d76104e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与使用" sheetId="1" r:id="Rb798b226c18b453e"/>
    <x:sheet xmlns:r="http://schemas.openxmlformats.org/officeDocument/2006/relationships" name="暂定方案44项" sheetId="2" r:id="Ra22b2b83ed834af6"/>
    <x:sheet xmlns:r="http://schemas.openxmlformats.org/officeDocument/2006/relationships" name="确认与落实状态" sheetId="3" r:id="R4b67782001ee440d"/>
    <x:sheet xmlns:r="http://schemas.openxmlformats.org/officeDocument/2006/relationships" name="参数登记21项" sheetId="4" r:id="R57eec9eda8f14d6e"/>
    <x:sheet xmlns:r="http://schemas.openxmlformats.org/officeDocument/2006/relationships" name="V2编号去向" sheetId="5" r:id="R19272f1ec6134d92"/>
    <x:sheet xmlns:r="http://schemas.openxmlformats.org/officeDocument/2006/relationships" name="变更记录10项" sheetId="6" r:id="Rc3bcb2b5b13c4000"/>
    <x:sheet xmlns:r="http://schemas.openxmlformats.org/officeDocument/2006/relationships" name="外部条件10项" sheetId="7" r:id="Rdc1cd8474d46443c"/>
    <x:sheet xmlns:r="http://schemas.openxmlformats.org/officeDocument/2006/relationships" name="验收清单15项" sheetId="8" r:id="R38867e4fb1ca4d5a"/>
    <x:sheet xmlns:r="http://schemas.openxmlformats.org/officeDocument/2006/relationships" name="V3原始32项" sheetId="9" r:id="R98600100121b4f79"/>
    <x:sheet xmlns:r="http://schemas.openxmlformats.org/officeDocument/2006/relationships" name="研究与来源" sheetId="10" r:id="Redffd8693cad4e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18">
    <x:font>
      <x:sz val="11"/>
      <x:name val="Carlito"/>
    </x:font>
    <x:font>
      <x:sz val="10"/>
      <x:color rgb="FF1F2937"/>
      <x:name val="Microsoft YaHei"/>
    </x:font>
    <x:font>
      <x:b/>
      <x:sz val="18"/>
      <x:color rgb="FFFFFFFF"/>
      <x:name val="Microsoft YaHei"/>
    </x:font>
    <x:font>
      <x:sz val="10"/>
      <x:color rgb="FF475569"/>
      <x:name val="Microsoft YaHei"/>
    </x:font>
    <x:font>
      <x:b/>
      <x:sz val="10"/>
      <x:color rgb="FFFFFFFF"/>
      <x:name val="Microsoft YaHei"/>
    </x:font>
    <x:font>
      <x:sz val="10"/>
      <x:color rgb="FF1D4ED8"/>
      <x:name val="Microsoft YaHei"/>
    </x:font>
    <x:font>
      <x:sz val="11"/>
      <x:color rgb="FF1F2937"/>
      <x:name val="Microsoft YaHei"/>
    </x:font>
    <x:font>
      <x:b/>
      <x:sz val="23"/>
      <x:color rgb="FFFFFFFF"/>
      <x:name val="Microsoft YaHei"/>
    </x:font>
    <x:font>
      <x:sz val="11"/>
      <x:color rgb="FF475569"/>
      <x:name val="Microsoft YaHei"/>
    </x:font>
    <x:font>
      <x:b/>
      <x:sz val="11"/>
      <x:color rgb="FF0F766E"/>
      <x:name val="Microsoft YaHei"/>
    </x:font>
    <x:font>
      <x:b/>
      <x:sz val="28"/>
      <x:color rgb="FF0F766E"/>
      <x:name val="Microsoft YaHei"/>
    </x:font>
    <x:font>
      <x:b/>
      <x:sz val="11"/>
      <x:color rgb="FF17365D"/>
      <x:name val="Microsoft YaHei"/>
    </x:font>
    <x:font>
      <x:b/>
      <x:sz val="28"/>
      <x:color rgb="FF17365D"/>
      <x:name val="Microsoft YaHei"/>
    </x:font>
    <x:font>
      <x:b/>
      <x:sz val="11"/>
      <x:color rgb="FFB45309"/>
      <x:name val="Microsoft YaHei"/>
    </x:font>
    <x:font>
      <x:b/>
      <x:sz val="28"/>
      <x:color rgb="FFB45309"/>
      <x:name val="Microsoft YaHei"/>
    </x:font>
    <x:font>
      <x:b/>
      <x:sz val="11"/>
      <x:color rgb="FFFFFFFF"/>
      <x:name val="Microsoft YaHei"/>
    </x:font>
    <x:font>
      <x:b/>
      <x:sz val="11"/>
      <x:color rgb="FF1F2937"/>
      <x:name val="Microsoft YaHei"/>
    </x:font>
    <x:font>
      <x:sz val="10"/>
      <x:color rgb="FF6D5121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FF6FF"/>
      </x:patternFill>
    </x:fill>
    <x:fill>
      <x:patternFill patternType="solid">
        <x:fgColor rgb="FFFFFBEB"/>
      </x:patternFill>
    </x:fill>
    <x:fill>
      <x:patternFill patternType="solid">
        <x:fgColor rgb="FFEDF2F7"/>
      </x:patternFill>
    </x:fill>
    <x:fill>
      <x:patternFill patternType="solid">
        <x:fgColor rgb="FFF8FAFC"/>
      </x:patternFill>
    </x:fill>
    <x:fill>
      <x:patternFill patternType="solid">
        <x:fgColor rgb="FFF1F7F5"/>
      </x:patternFill>
    </x:fill>
    <x:fill>
      <x:patternFill patternType="solid">
        <x:fgColor rgb="FFFFF9EE"/>
      </x:patternFill>
    </x:fill>
  </x:fills>
  <x:borders count="2">
    <x:border/>
    <x:border/>
  </x:borders>
  <x:cellStyleXfs count="1">
    <x:xf numFmtId="0" fontId="0" fillId="0" borderId="0"/>
  </x:cellStyleXfs>
  <x:cellXfs count="10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top"/>
    </x:xf>
    <x:xf numFmtId="0" fontId="3" fillId="3" borderId="1" xfId="0" applyNumberFormat="1" applyFont="1" applyFill="1" applyBorder="1" applyAlignment="1">
      <x:alignment vertical="top"/>
    </x:xf>
    <x:xf numFmtId="0" fontId="3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top"/>
    </x:xf>
    <x:xf numFmtId="0" fontId="4" fillId="2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200" fontId="5" fillId="0" borderId="0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0" borderId="1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6" fillId="2" borderId="1" xfId="0" applyNumberFormat="1" applyFont="1" applyFill="1" applyBorder="1" applyAlignment="1">
      <x:alignment vertical="center"/>
    </x:xf>
    <x:xf numFmtId="0" fontId="7" fillId="2" borderId="1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 applyAlignment="1">
      <x:alignment vertical="center"/>
    </x:xf>
    <x:xf numFmtId="0" fontId="8" fillId="3" borderId="1" xfId="0" applyNumberFormat="1" applyFont="1" applyFill="1" applyBorder="1" applyAlignment="1">
      <x:alignment vertical="center"/>
    </x:xf>
    <x:xf numFmtId="0" fontId="8" fillId="3" borderId="1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horizontal="center" vertical="center"/>
    </x:xf>
    <x:xf numFmtId="0" fontId="6" fillId="5" borderId="1" xfId="0" applyNumberFormat="1" applyFont="1" applyFill="1" applyBorder="1" applyAlignment="1">
      <x:alignment vertical="center"/>
    </x:xf>
    <x:xf numFmtId="0" fontId="9" fillId="5" borderId="1" xfId="0" applyNumberFormat="1" applyFont="1" applyFill="1" applyBorder="1" applyAlignment="1">
      <x:alignment vertical="center"/>
    </x:xf>
    <x:xf numFmtId="0" fontId="9" fillId="5" borderId="1" xfId="0" applyNumberFormat="1" applyFont="1" applyFill="1" applyBorder="1" applyAlignment="1">
      <x:alignment horizontal="center" vertical="center"/>
    </x:xf>
    <x:xf numFmtId="0" fontId="6" fillId="6" borderId="0" xfId="0" applyNumberFormat="1" applyFont="1" applyFill="1" applyBorder="1" applyAlignment="1">
      <x:alignment vertical="center"/>
    </x:xf>
    <x:xf numFmtId="0" fontId="10" fillId="6" borderId="0" xfId="0" applyNumberFormat="1" applyFont="1" applyFill="1" applyBorder="1" applyAlignment="1">
      <x:alignment vertical="center"/>
    </x:xf>
    <x:xf numFmtId="0" fontId="10" fillId="6" borderId="0" xfId="0" applyNumberFormat="1" applyFont="1" applyFill="1" applyBorder="1" applyAlignment="1">
      <x:alignment horizontal="center" vertical="center"/>
    </x:xf>
    <x:xf numFmtId="0" fontId="6" fillId="6" borderId="1" xfId="0" applyNumberFormat="1" applyFont="1" applyFill="1" applyBorder="1" applyAlignment="1">
      <x:alignment vertical="center"/>
    </x:xf>
    <x:xf numFmtId="0" fontId="10" fillId="6" borderId="1" xfId="0" applyNumberFormat="1" applyFont="1" applyFill="1" applyBorder="1" applyAlignment="1">
      <x:alignment vertical="center"/>
    </x:xf>
    <x:xf numFmtId="0" fontId="10" fillId="6" borderId="1" xfId="0" applyNumberFormat="1" applyFont="1" applyFill="1" applyBorder="1" applyAlignment="1">
      <x:alignment horizontal="center" vertical="center"/>
    </x:xf>
    <x:xf numFmtId="0" fontId="11" fillId="5" borderId="0" xfId="0" applyNumberFormat="1" applyFont="1" applyFill="1" applyBorder="1" applyAlignment="1">
      <x:alignment vertical="center"/>
    </x:xf>
    <x:xf numFmtId="0" fontId="11" fillId="5" borderId="0" xfId="0" applyNumberFormat="1" applyFont="1" applyFill="1" applyBorder="1" applyAlignment="1">
      <x:alignment horizontal="center" vertical="center"/>
    </x:xf>
    <x:xf numFmtId="0" fontId="11" fillId="5" borderId="1" xfId="0" applyNumberFormat="1" applyFont="1" applyFill="1" applyBorder="1" applyAlignment="1">
      <x:alignment vertical="center"/>
    </x:xf>
    <x:xf numFmtId="0" fontId="11" fillId="5" borderId="1" xfId="0" applyNumberFormat="1" applyFont="1" applyFill="1" applyBorder="1" applyAlignment="1">
      <x:alignment horizontal="center" vertical="center"/>
    </x:xf>
    <x:xf numFmtId="0" fontId="12" fillId="6" borderId="0" xfId="0" applyNumberFormat="1" applyFont="1" applyFill="1" applyBorder="1" applyAlignment="1">
      <x:alignment vertical="center"/>
    </x:xf>
    <x:xf numFmtId="0" fontId="12" fillId="6" borderId="0" xfId="0" applyNumberFormat="1" applyFont="1" applyFill="1" applyBorder="1" applyAlignment="1">
      <x:alignment horizontal="center" vertical="center"/>
    </x:xf>
    <x:xf numFmtId="0" fontId="12" fillId="6" borderId="1" xfId="0" applyNumberFormat="1" applyFont="1" applyFill="1" applyBorder="1" applyAlignment="1">
      <x:alignment vertical="center"/>
    </x:xf>
    <x:xf numFmtId="0" fontId="12" fillId="6" borderId="1" xfId="0" applyNumberFormat="1" applyFont="1" applyFill="1" applyBorder="1" applyAlignment="1">
      <x:alignment horizontal="center" vertical="center"/>
    </x:xf>
    <x:xf numFmtId="0" fontId="13" fillId="5" borderId="0" xfId="0" applyNumberFormat="1" applyFont="1" applyFill="1" applyBorder="1" applyAlignment="1">
      <x:alignment vertical="center"/>
    </x:xf>
    <x:xf numFmtId="0" fontId="13" fillId="5" borderId="0" xfId="0" applyNumberFormat="1" applyFont="1" applyFill="1" applyBorder="1" applyAlignment="1">
      <x:alignment horizontal="center" vertical="center"/>
    </x:xf>
    <x:xf numFmtId="0" fontId="13" fillId="5" borderId="1" xfId="0" applyNumberFormat="1" applyFont="1" applyFill="1" applyBorder="1" applyAlignment="1">
      <x:alignment vertical="center"/>
    </x:xf>
    <x:xf numFmtId="0" fontId="13" fillId="5" borderId="1" xfId="0" applyNumberFormat="1" applyFont="1" applyFill="1" applyBorder="1" applyAlignment="1">
      <x:alignment horizontal="center" vertical="center"/>
    </x:xf>
    <x:xf numFmtId="0" fontId="14" fillId="6" borderId="0" xfId="0" applyNumberFormat="1" applyFont="1" applyFill="1" applyBorder="1" applyAlignment="1">
      <x:alignment vertical="center"/>
    </x:xf>
    <x:xf numFmtId="0" fontId="14" fillId="6" borderId="0" xfId="0" applyNumberFormat="1" applyFont="1" applyFill="1" applyBorder="1" applyAlignment="1">
      <x:alignment horizontal="center" vertical="center"/>
    </x:xf>
    <x:xf numFmtId="0" fontId="14" fillId="6" borderId="1" xfId="0" applyNumberFormat="1" applyFont="1" applyFill="1" applyBorder="1" applyAlignment="1">
      <x:alignment vertical="center"/>
    </x:xf>
    <x:xf numFmtId="0" fontId="14" fillId="6" borderId="1" xfId="0" applyNumberFormat="1" applyFont="1" applyFill="1" applyBorder="1" applyAlignment="1">
      <x:alignment horizontal="center" vertical="center"/>
    </x:xf>
    <x:xf numFmtId="0" fontId="15" fillId="2" borderId="0" xfId="0" applyNumberFormat="1" applyFont="1" applyFill="1" applyBorder="1" applyAlignment="1">
      <x:alignment vertical="center"/>
    </x:xf>
    <x:xf numFmtId="0" fontId="15" fillId="2" borderId="1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vertical="center"/>
    </x:xf>
    <x:xf numFmtId="0" fontId="6" fillId="7" borderId="1" xfId="0" applyNumberFormat="1" applyFont="1" applyFill="1" applyBorder="1" applyAlignment="1">
      <x:alignment vertical="center"/>
    </x:xf>
    <x:xf numFmtId="0" fontId="16" fillId="7" borderId="0" xfId="0" applyNumberFormat="1" applyFont="1" applyFill="1" applyBorder="1" applyAlignment="1">
      <x:alignment vertical="center"/>
    </x:xf>
    <x:xf numFmtId="0" fontId="16" fillId="7" borderId="1" xfId="0" applyNumberFormat="1" applyFont="1" applyFill="1" applyBorder="1" applyAlignment="1">
      <x:alignment vertical="center"/>
    </x:xf>
    <x:xf numFmtId="0" fontId="16" fillId="7" borderId="0" xfId="0" applyNumberFormat="1" applyFont="1" applyFill="1" applyBorder="1" applyAlignment="1">
      <x:alignment horizontal="center" vertical="center"/>
    </x:xf>
    <x:xf numFmtId="0" fontId="16" fillId="7" borderId="1" xfId="0" applyNumberFormat="1" applyFont="1" applyFill="1" applyBorder="1" applyAlignment="1">
      <x:alignment horizontal="center" vertical="center"/>
    </x:xf>
    <x:xf numFmtId="0" fontId="16" fillId="6" borderId="0" xfId="0" applyNumberFormat="1" applyFont="1" applyFill="1" applyBorder="1" applyAlignment="1">
      <x:alignment vertical="center"/>
    </x:xf>
    <x:xf numFmtId="0" fontId="16" fillId="6" borderId="1" xfId="0" applyNumberFormat="1" applyFont="1" applyFill="1" applyBorder="1" applyAlignment="1">
      <x:alignment vertical="center"/>
    </x:xf>
    <x:xf numFmtId="0" fontId="16" fillId="6" borderId="0" xfId="0" applyNumberFormat="1" applyFont="1" applyFill="1" applyBorder="1" applyAlignment="1">
      <x:alignment horizontal="center" vertical="center"/>
    </x:xf>
    <x:xf numFmtId="0" fontId="16" fillId="6" borderId="1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 applyAlignment="1">
      <x:alignment vertical="center"/>
    </x:xf>
    <x:xf numFmtId="0" fontId="11" fillId="0" borderId="1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11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 wrapText="1"/>
    </x:xf>
    <x:xf numFmtId="0" fontId="11" fillId="6" borderId="1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vertical="center" wrapText="1"/>
    </x:xf>
    <x:xf numFmtId="0" fontId="6" fillId="8" borderId="0" xfId="0" applyNumberFormat="1" applyFont="1" applyFill="1" applyBorder="1" applyAlignment="1">
      <x:alignment vertical="center"/>
    </x:xf>
    <x:xf numFmtId="0" fontId="17" fillId="8" borderId="0" xfId="0" applyNumberFormat="1" applyFont="1" applyFill="1" applyBorder="1" applyAlignment="1">
      <x:alignment vertical="center"/>
    </x:xf>
    <x:xf numFmtId="0" fontId="17" fillId="8" borderId="0" xfId="0" applyNumberFormat="1" applyFont="1" applyFill="1" applyBorder="1" applyAlignment="1">
      <x:alignment vertical="center" wrapText="1"/>
    </x:xf>
    <x:xf numFmtId="0" fontId="6" fillId="8" borderId="1" xfId="0" applyNumberFormat="1" applyFont="1" applyFill="1" applyBorder="1" applyAlignment="1">
      <x:alignment vertical="center"/>
    </x:xf>
    <x:xf numFmtId="0" fontId="17" fillId="8" borderId="1" xfId="0" applyNumberFormat="1" applyFont="1" applyFill="1" applyBorder="1" applyAlignment="1">
      <x:alignment vertical="center"/>
    </x:xf>
    <x:xf numFmtId="0" fontId="17" fillId="8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0F766E"/>
      </x:font>
      <x:fill>
        <x:patternFill patternType="solid">
          <x:bgColor rgb="FFECFDF5"/>
        </x:patternFill>
      </x:fill>
    </x:dxf>
    <x:dxf>
      <x:font>
        <x:color rgb="FFB45309"/>
      </x:font>
      <x:fill>
        <x:patternFill patternType="solid">
          <x:bgColor rgb="FFFFF7ED"/>
        </x:patternFill>
      </x:fill>
    </x:dxf>
    <x:dxf>
      <x:font>
        <x:color rgb="FF64748B"/>
      </x:font>
      <x:fill>
        <x:patternFill patternType="solid">
          <x:bgColor rgb="FFF1F5F9"/>
        </x:patternFill>
      </x:fill>
    </x:dxf>
    <x:dxf>
      <x:font>
        <x:color rgb="FFB42318"/>
      </x:font>
      <x:fill>
        <x:patternFill patternType="solid">
          <x:bgColor rgb="FFFEF2F2"/>
        </x:patternFill>
      </x:fill>
    </x:dxf>
    <x:dxf>
      <x:font>
        <x:color rgb="FFB45309"/>
      </x:font>
      <x:fill>
        <x:patternFill patternType="solid">
          <x:bgColor rgb="FFFFFB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b9b2c35291485c" /><Relationship Type="http://schemas.openxmlformats.org/officeDocument/2006/relationships/theme" Target="/xl/theme/theme1.xml" Id="R313830e6800c41fa" /><Relationship Type="http://schemas.openxmlformats.org/officeDocument/2006/relationships/sharedStrings" Target="/xl/sharedStrings.xml" Id="Rbadea7b5f2434290" /><Relationship Type="http://schemas.openxmlformats.org/officeDocument/2006/relationships/worksheet" Target="/xl/worksheets/sheet1.xml" Id="Rb798b226c18b453e" /><Relationship Type="http://schemas.openxmlformats.org/officeDocument/2006/relationships/worksheet" Target="/xl/worksheets/sheet2.xml" Id="Ra22b2b83ed834af6" /><Relationship Type="http://schemas.openxmlformats.org/officeDocument/2006/relationships/worksheet" Target="/xl/worksheets/sheet3.xml" Id="R4b67782001ee440d" /><Relationship Type="http://schemas.openxmlformats.org/officeDocument/2006/relationships/worksheet" Target="/xl/worksheets/sheet4.xml" Id="R57eec9eda8f14d6e" /><Relationship Type="http://schemas.openxmlformats.org/officeDocument/2006/relationships/worksheet" Target="/xl/worksheets/sheet5.xml" Id="R19272f1ec6134d92" /><Relationship Type="http://schemas.openxmlformats.org/officeDocument/2006/relationships/worksheet" Target="/xl/worksheets/sheet6.xml" Id="Rc3bcb2b5b13c4000" /><Relationship Type="http://schemas.openxmlformats.org/officeDocument/2006/relationships/worksheet" Target="/xl/worksheets/sheet7.xml" Id="Rdc1cd8474d46443c" /><Relationship Type="http://schemas.openxmlformats.org/officeDocument/2006/relationships/worksheet" Target="/xl/worksheets/sheet8.xml" Id="R38867e4fb1ca4d5a" /><Relationship Type="http://schemas.openxmlformats.org/officeDocument/2006/relationships/worksheet" Target="/xl/worksheets/sheet9.xml" Id="R98600100121b4f79" /><Relationship Type="http://schemas.openxmlformats.org/officeDocument/2006/relationships/worksheet" Target="/xl/worksheets/sheet10.xml" Id="Redffd8693cad4ea5" /></Relationships>
</file>

<file path=xl/tables/table1.xml><?xml version="1.0" encoding="utf-8"?>
<x:table xmlns:x="http://schemas.openxmlformats.org/spreadsheetml/2006/main" id="1" name="Requirements" displayName="Requirements" ref="A6:J50" headerRowCount="1" totalsRowCount="0" totalsRowShown="0">
  <x:tableColumns count="10">
    <x:tableColumn id="1" name="永久编号"/>
    <x:tableColumn id="2" name="原始来源编号"/>
    <x:tableColumn id="3" name="分期"/>
    <x:tableColumn id="4" name="需求事项"/>
    <x:tableColumn id="5" name="本轮暂定做法"/>
    <x:tableColumn id="6" name="采用理由"/>
    <x:tableColumn id="7" name="与原文差异"/>
    <x:tableColumn id="8" name="正式启用条件"/>
    <x:tableColumn id="9" name="旧版/模块关联"/>
    <x:tableColumn id="10" name="来源位置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cisionStatus" displayName="DecisionStatus" ref="A6:J50" headerRowCount="1" totalsRowCount="0" totalsRowShown="0">
  <x:tableColumns count="10">
    <x:tableColumn id="1" name="永久编号"/>
    <x:tableColumn id="2" name="事项"/>
    <x:tableColumn id="3" name="当前决策状态"/>
    <x:tableColumn id="4" name="正式确认状态"/>
    <x:tableColumn id="5" name="确认人/依据"/>
    <x:tableColumn id="6" name="确认日期"/>
    <x:tableColumn id="7" name="实际实现状态"/>
    <x:tableColumn id="8" name="正式启用状态"/>
    <x:tableColumn id="9" name="复核触发条件"/>
    <x:tableColumn id="10" name="补充意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rameters" displayName="Parameters" ref="A6:J27" headerRowCount="1" totalsRowCount="0" totalsRowShown="0">
  <x:tableColumns count="10">
    <x:tableColumn id="1" name="参数编号"/>
    <x:tableColumn id="2" name="参数名称"/>
    <x:tableColumn id="3" name="暂定值"/>
    <x:tableColumn id="4" name="单位"/>
    <x:tableColumn id="5" name="适用范围"/>
    <x:tableColumn id="6" name="讨论/允许范围"/>
    <x:tableColumn id="7" name="当前启用限制"/>
    <x:tableColumn id="8" name="复核触发"/>
    <x:tableColumn id="9" name="关联需求"/>
    <x:tableColumn id="10" name="数值来源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egacyMap" displayName="LegacyMap" ref="A6:D29" headerRowCount="1" totalsRowCount="0" totalsRowShown="0">
  <x:tableColumns count="4">
    <x:tableColumn id="1" name="旧版编号"/>
    <x:tableColumn id="2" name="原议题"/>
    <x:tableColumn id="3" name="在新基线中的处理"/>
    <x:tableColumn id="4" name="新版关联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hanges" displayName="Changes" ref="A6:J16" headerRowCount="1" totalsRowCount="0" totalsRowShown="0">
  <x:tableColumns count="10">
    <x:tableColumn id="1" name="变更编号"/>
    <x:tableColumn id="2" name="关联需求"/>
    <x:tableColumn id="3" name="变化主题"/>
    <x:tableColumn id="4" name="旧方案依据"/>
    <x:tableColumn id="5" name="新暂定方案"/>
    <x:tableColumn id="6" name="调整理由"/>
    <x:tableColumn id="7" name="决策状态"/>
    <x:tableColumn id="8" name="适用对象"/>
    <x:tableColumn id="9" name="登记日期"/>
    <x:tableColumn id="10" name="启用状态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xternalConditions" displayName="ExternalConditions" ref="A6:G16" headerRowCount="1" totalsRowCount="0" totalsRowShown="0">
  <x:tableColumns count="7">
    <x:tableColumn id="1" name="编号"/>
    <x:tableColumn id="2" name="外部事项"/>
    <x:tableColumn id="3" name="关联需求"/>
    <x:tableColumn id="4" name="需要取得的事实/材料"/>
    <x:tableColumn id="5" name="当前状态"/>
    <x:tableColumn id="6" name="影响范围"/>
    <x:tableColumn id="7" name="未取得时可做什么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Acceptance" displayName="Acceptance" ref="A6:F21" headerRowCount="1" totalsRowCount="0" totalsRowShown="0">
  <x:tableColumns count="6">
    <x:tableColumn id="1" name="验收编号"/>
    <x:tableColumn id="2" name="关联需求"/>
    <x:tableColumn id="3" name="验收情景与应有结果"/>
    <x:tableColumn id="4" name="执行状态"/>
    <x:tableColumn id="5" name="执行人/日期"/>
    <x:tableColumn id="6" name="证据位置/结论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OriginalDecisions" displayName="OriginalDecisions" ref="A6:L38" headerRowCount="1" totalsRowCount="0" totalsRowShown="0">
  <x:tableColumns count="12">
    <x:tableColumn id="1" name="编号"/>
    <x:tableColumn id="2" name="分期"/>
    <x:tableColumn id="3" name="所属板块"/>
    <x:tableColumn id="4" name="待决策问题"/>
    <x:tableColumn id="5" name="为什么要定（背景/影响）"/>
    <x:tableColumn id="6" name="备选方案"/>
    <x:tableColumn id="7" name="★推荐方案（含默认值，可改）"/>
    <x:tableColumn id="8" name="影响端"/>
    <x:tableColumn id="9" name="会议结论&#10;(同意推荐/改为…/暂缓)"/>
    <x:tableColumn id="10" name="补充约定"/>
    <x:tableColumn id="11" name="负责人"/>
    <x:tableColumn id="12" name="截止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ources" displayName="Sources" ref="A6:E19" headerRowCount="1" totalsRowCount="0" totalsRowShown="0">
  <x:tableColumns count="5">
    <x:tableColumn id="1" name="来源编号"/>
    <x:tableColumn id="2" name="名称"/>
    <x:tableColumn id="3" name="文件位置或官方链接"/>
    <x:tableColumn id="4" name="本轮使用边界"/>
    <x:tableColumn id="5" name="核验日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1f2cb7c4195453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071cbd21b6f454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16773caa10b4e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5c375855e30416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67eba65aa53460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841f244c91c424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f03df35f4fc47f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f5d2c4d7bae471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261537e5cc34422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</x:cols>
  <x:sheetData>
    <x:row r="1" ht="26" customHeight="1">
      <x:c r="A1" s="41" t="str">
        <x:v>晶选片场｜统一需求基线 R0.1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</x:row>
    <x:row r="2" ht="26" customHeight="1">
      <x:c r="A2" s="41"/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</x:row>
    <x:row r="3" ht="24" customHeight="1">
      <x:c r="A3" s="46" t="str">
        <x:v>基线 JX-PC-P0-R0.1 · 2026-09-20
研究暂定版：供讨论、设计及试制，不代表公司正式批准、代码完成或生产可用。</x:v>
      </x:c>
      <x:c r="B3" s="46"/>
      <x:c r="C3" s="46"/>
      <x:c r="D3" s="46"/>
      <x:c r="E3" s="46"/>
      <x:c r="F3" s="46"/>
      <x:c r="G3" s="46"/>
      <x:c r="H3" s="46"/>
      <x:c r="I3" s="46"/>
      <x:c r="J3" s="46"/>
      <x:c r="K3" s="46"/>
      <x:c r="L3" s="46"/>
    </x:row>
    <x:row r="4" ht="24" customHeight="1">
      <x:c r="A4" s="46"/>
      <x:c r="B4" s="46"/>
      <x:c r="C4" s="46"/>
      <x:c r="D4" s="46"/>
      <x:c r="E4" s="46"/>
      <x:c r="F4" s="46"/>
      <x:c r="G4" s="46"/>
      <x:c r="H4" s="46"/>
      <x:c r="I4" s="46"/>
      <x:c r="J4" s="46"/>
      <x:c r="K4" s="46"/>
      <x:c r="L4" s="46"/>
    </x:row>
    <x:row r="5" ht="26" customHeight="1">
      <x:c r="A5" s="38"/>
      <x:c r="B5" s="38"/>
      <x:c r="C5" s="38"/>
      <x:c r="D5" s="38"/>
      <x:c r="E5" s="38"/>
      <x:c r="F5" s="38"/>
      <x:c r="G5" s="38"/>
      <x:c r="H5" s="38"/>
      <x:c r="I5" s="38"/>
      <x:c r="J5" s="38"/>
      <x:c r="K5" s="38"/>
      <x:c r="L5" s="38"/>
    </x:row>
    <x:row r="6" ht="26" customHeight="1">
      <x:c r="A6" s="52" t="str">
        <x:v>需求总条目</x:v>
      </x:c>
      <x:c r="B6" s="52"/>
      <x:c r="C6" s="52"/>
      <x:c r="D6" s="63" t="str">
        <x:v>原始待决策</x:v>
      </x:c>
      <x:c r="E6" s="63"/>
      <x:c r="F6" s="63"/>
      <x:c r="G6" s="71" t="str">
        <x:v>原表已填结论</x:v>
      </x:c>
      <x:c r="H6" s="71"/>
      <x:c r="I6" s="71"/>
      <x:c r="J6" s="52" t="str">
        <x:v>可调整参数</x:v>
      </x:c>
      <x:c r="K6" s="52"/>
      <x:c r="L6" s="52"/>
    </x:row>
    <x:row r="7" ht="26" customHeight="1">
      <x:c r="A7" s="58" t="n">
        <x:f>COUNTA('暂定方案44项'!A7:A50)</x:f>
        <x:v>44</x:v>
      </x:c>
      <x:c r="B7" s="58"/>
      <x:c r="C7" s="58"/>
      <x:c r="D7" s="67" t="n">
        <x:f>COUNTA('V3原始32项'!A7:A38)</x:f>
        <x:v>32</x:v>
      </x:c>
      <x:c r="E7" s="67"/>
      <x:c r="F7" s="67"/>
      <x:c r="G7" s="75" t="n">
        <x:f>COUNTIF('V3原始32项'!I7:I38,"?*")</x:f>
        <x:v>0</x:v>
      </x:c>
      <x:c r="H7" s="75"/>
      <x:c r="I7" s="75"/>
      <x:c r="J7" s="58" t="n">
        <x:f>COUNTA('参数登记21项'!A7:A27)</x:f>
        <x:v>21</x:v>
      </x:c>
      <x:c r="K7" s="58"/>
      <x:c r="L7" s="58"/>
    </x:row>
    <x:row r="8" ht="26" customHeight="1">
      <x:c r="A8" s="58"/>
      <x:c r="B8" s="58"/>
      <x:c r="C8" s="58"/>
      <x:c r="D8" s="67"/>
      <x:c r="E8" s="67"/>
      <x:c r="F8" s="67"/>
      <x:c r="G8" s="75"/>
      <x:c r="H8" s="75"/>
      <x:c r="I8" s="75"/>
      <x:c r="J8" s="58"/>
      <x:c r="K8" s="58"/>
      <x:c r="L8" s="58"/>
    </x:row>
    <x:row r="9" ht="26" customHeight="1">
      <x:c r="A9" s="38"/>
      <x:c r="B9" s="38"/>
      <x:c r="C9" s="38"/>
      <x:c r="D9" s="38"/>
      <x:c r="E9" s="38"/>
      <x:c r="F9" s="38"/>
      <x:c r="G9" s="38"/>
      <x:c r="H9" s="38"/>
      <x:c r="I9" s="38"/>
      <x:c r="J9" s="38"/>
      <x:c r="K9" s="38"/>
      <x:c r="L9" s="38"/>
    </x:row>
    <x:row r="10" ht="26" customHeight="1">
      <x:c r="A10" s="78" t="str">
        <x:v>01  当前分期｜P0只验证私人定制，不一次建成经营与发行市场</x:v>
      </x:c>
      <x:c r="B10" s="78"/>
      <x:c r="C10" s="78"/>
      <x:c r="D10" s="78"/>
      <x:c r="E10" s="78"/>
      <x:c r="F10" s="78"/>
      <x:c r="G10" s="78"/>
      <x:c r="H10" s="78"/>
      <x:c r="I10" s="78"/>
      <x:c r="J10" s="78"/>
      <x:c r="K10" s="78"/>
      <x:c r="L10" s="78"/>
    </x:row>
    <x:row r="11" ht="26" customHeight="1">
      <x:c r="A11" s="82" t="str">
        <x:v>P0</x:v>
      </x:c>
      <x:c r="B11" s="84" t="n">
        <x:f>COUNTIF('暂定方案44项'!$C$7:$C$50,"P0")</x:f>
        <x:v>28</x:v>
      </x:c>
      <x:c r="C11" s="84"/>
      <x:c r="D11" s="80" t="str">
        <x:v>私人定制闭环、授权和必要内部管理</x:v>
      </x:c>
      <x:c r="E11" s="80"/>
      <x:c r="F11" s="80"/>
      <x:c r="G11" s="80"/>
      <x:c r="H11" s="80"/>
      <x:c r="I11" s="80"/>
      <x:c r="J11" s="80"/>
      <x:c r="K11" s="80"/>
      <x:c r="L11" s="80"/>
    </x:row>
    <x:row r="12" ht="26" customHeight="1">
      <x:c r="A12" s="86" t="str">
        <x:v>P1</x:v>
      </x:c>
      <x:c r="B12" s="88" t="n">
        <x:f>COUNTIF('暂定方案44项'!$C$7:$C$50,"P1")</x:f>
        <x:v>8</x:v>
      </x:c>
      <x:c r="C12" s="88"/>
      <x:c r="D12" s="56" t="str">
        <x:v>商单、机构经营与匹配的结算能力</x:v>
      </x:c>
      <x:c r="E12" s="56"/>
      <x:c r="F12" s="56"/>
      <x:c r="G12" s="56"/>
      <x:c r="H12" s="56"/>
      <x:c r="I12" s="56"/>
      <x:c r="J12" s="56"/>
      <x:c r="K12" s="56"/>
      <x:c r="L12" s="56"/>
    </x:row>
    <x:row r="13" ht="26" customHeight="1">
      <x:c r="A13" s="86" t="str">
        <x:v>P2</x:v>
      </x:c>
      <x:c r="B13" s="88" t="n">
        <x:f>COUNTIF('暂定方案44项'!$C$7:$C$50,"P2")</x:f>
        <x:v>8</x:v>
      </x:c>
      <x:c r="C13" s="88"/>
      <x:c r="D13" s="56" t="str">
        <x:v>出品、发行及发行收入管理</x:v>
      </x:c>
      <x:c r="E13" s="56"/>
      <x:c r="F13" s="56"/>
      <x:c r="G13" s="56"/>
      <x:c r="H13" s="56"/>
      <x:c r="I13" s="56"/>
      <x:c r="J13" s="56"/>
      <x:c r="K13" s="56"/>
      <x:c r="L13" s="56"/>
    </x:row>
    <x:row r="14" ht="26" customHeight="1">
      <x:c r="A14" s="38"/>
      <x:c r="B14" s="38"/>
      <x:c r="C14" s="38"/>
      <x:c r="D14" s="38"/>
      <x:c r="E14" s="38"/>
      <x:c r="F14" s="38"/>
      <x:c r="G14" s="38"/>
      <x:c r="H14" s="38"/>
      <x:c r="I14" s="38"/>
      <x:c r="J14" s="38"/>
      <x:c r="K14" s="38"/>
      <x:c r="L14" s="38"/>
    </x:row>
    <x:row r="15" ht="26" customHeight="1">
      <x:c r="A15" s="78" t="str">
        <x:v>02  使用顺序｜先看方案，后核条件；修改必须留下来源与生效范围</x:v>
      </x:c>
      <x:c r="B15" s="78"/>
      <x:c r="C15" s="78"/>
      <x:c r="D15" s="78"/>
      <x:c r="E15" s="78"/>
      <x:c r="F15" s="78"/>
      <x:c r="G15" s="78"/>
      <x:c r="H15" s="78"/>
      <x:c r="I15" s="78"/>
      <x:c r="J15" s="78"/>
      <x:c r="K15" s="78"/>
      <x:c r="L15" s="78"/>
    </x:row>
    <x:row r="16" ht="34" customHeight="1">
      <x:c r="A16" s="94" t="str">
        <x:v>暂定方案44项</x:v>
      </x:c>
      <x:c r="B16" s="94"/>
      <x:c r="C16" s="94"/>
      <x:c r="D16" s="94"/>
      <x:c r="E16" s="95" t="str">
        <x:v>查看每条当前做法、理由、原版差异和启用条件。</x:v>
      </x:c>
      <x:c r="F16" s="95"/>
      <x:c r="G16" s="95"/>
      <x:c r="H16" s="95"/>
      <x:c r="I16" s="95"/>
      <x:c r="J16" s="95"/>
      <x:c r="K16" s="95"/>
      <x:c r="L16" s="95"/>
    </x:row>
    <x:row r="17" ht="34" customHeight="1">
      <x:c r="A17" s="90" t="str">
        <x:v>确认与落实状态</x:v>
      </x:c>
      <x:c r="B17" s="90"/>
      <x:c r="C17" s="90"/>
      <x:c r="D17" s="90"/>
      <x:c r="E17" s="92" t="str">
        <x:v>分别填写决策、实现、生产三类状态，不能用一个“完成”代替。</x:v>
      </x:c>
      <x:c r="F17" s="92"/>
      <x:c r="G17" s="92"/>
      <x:c r="H17" s="92"/>
      <x:c r="I17" s="92"/>
      <x:c r="J17" s="92"/>
      <x:c r="K17" s="92"/>
      <x:c r="L17" s="92"/>
    </x:row>
    <x:row r="18" ht="34" customHeight="1">
      <x:c r="A18" s="94" t="str">
        <x:v>参数登记21项</x:v>
      </x:c>
      <x:c r="B18" s="94"/>
      <x:c r="C18" s="94"/>
      <x:c r="D18" s="94"/>
      <x:c r="E18" s="95" t="str">
        <x:v>查看首款、时长、轮次、工期与产能；暂定值不直接上线。</x:v>
      </x:c>
      <x:c r="F18" s="95"/>
      <x:c r="G18" s="95"/>
      <x:c r="H18" s="95"/>
      <x:c r="I18" s="95"/>
      <x:c r="J18" s="95"/>
      <x:c r="K18" s="95"/>
      <x:c r="L18" s="95"/>
    </x:row>
    <x:row r="19" ht="34" customHeight="1">
      <x:c r="A19" s="90" t="str">
        <x:v>V2编号去向</x:v>
      </x:c>
      <x:c r="B19" s="90"/>
      <x:c r="C19" s="90"/>
      <x:c r="D19" s="90"/>
      <x:c r="E19" s="92" t="str">
        <x:v>保留旧D01—D23，避免V2-D01与V3-D1混号。</x:v>
      </x:c>
      <x:c r="F19" s="92"/>
      <x:c r="G19" s="92"/>
      <x:c r="H19" s="92"/>
      <x:c r="I19" s="92"/>
      <x:c r="J19" s="92"/>
      <x:c r="K19" s="92"/>
      <x:c r="L19" s="92"/>
    </x:row>
    <x:row r="20" ht="34" customHeight="1">
      <x:c r="A20" s="94" t="str">
        <x:v>变更记录10项</x:v>
      </x:c>
      <x:c r="B20" s="94"/>
      <x:c r="C20" s="94"/>
      <x:c r="D20" s="94"/>
      <x:c r="E20" s="95" t="str">
        <x:v>本轮相对原推荐的变化；以后变动继续新增记录。</x:v>
      </x:c>
      <x:c r="F20" s="95"/>
      <x:c r="G20" s="95"/>
      <x:c r="H20" s="95"/>
      <x:c r="I20" s="95"/>
      <x:c r="J20" s="95"/>
      <x:c r="K20" s="95"/>
      <x:c r="L20" s="95"/>
    </x:row>
    <x:row r="21" ht="34" customHeight="1">
      <x:c r="A21" s="90" t="str">
        <x:v>外部条件10项</x:v>
      </x:c>
      <x:c r="B21" s="90"/>
      <x:c r="C21" s="90"/>
      <x:c r="D21" s="90"/>
      <x:c r="E21" s="92" t="str">
        <x:v>只记录可核查的产品、主体、渠道、合规与制作能力。</x:v>
      </x:c>
      <x:c r="F21" s="92"/>
      <x:c r="G21" s="92"/>
      <x:c r="H21" s="92"/>
      <x:c r="I21" s="92"/>
      <x:c r="J21" s="92"/>
      <x:c r="K21" s="92"/>
      <x:c r="L21" s="92"/>
    </x:row>
    <x:row r="22" ht="34" customHeight="1">
      <x:c r="A22" s="94" t="str">
        <x:v>验收清单15项</x:v>
      </x:c>
      <x:c r="B22" s="94"/>
      <x:c r="C22" s="94"/>
      <x:c r="D22" s="94"/>
      <x:c r="E22" s="95" t="str">
        <x:v>每项预先写验收方式；当前均未执行。</x:v>
      </x:c>
      <x:c r="F22" s="95"/>
      <x:c r="G22" s="95"/>
      <x:c r="H22" s="95"/>
      <x:c r="I22" s="95"/>
      <x:c r="J22" s="95"/>
      <x:c r="K22" s="95"/>
      <x:c r="L22" s="95"/>
    </x:row>
    <x:row r="23" ht="34" customHeight="1">
      <x:c r="A23" s="90" t="str">
        <x:v>V3原始32项</x:v>
      </x:c>
      <x:c r="B23" s="90"/>
      <x:c r="C23" s="90"/>
      <x:c r="D23" s="90"/>
      <x:c r="E23" s="92" t="str">
        <x:v>保留原文和空白会议结论，不用新方案覆盖。</x:v>
      </x:c>
      <x:c r="F23" s="92"/>
      <x:c r="G23" s="92"/>
      <x:c r="H23" s="92"/>
      <x:c r="I23" s="92"/>
      <x:c r="J23" s="92"/>
      <x:c r="K23" s="92"/>
      <x:c r="L23" s="92"/>
    </x:row>
    <x:row r="24" ht="34" customHeight="1">
      <x:c r="A24" s="94" t="str">
        <x:v>研究与来源</x:v>
      </x:c>
      <x:c r="B24" s="94"/>
      <x:c r="C24" s="94"/>
      <x:c r="D24" s="94"/>
      <x:c r="E24" s="95" t="str">
        <x:v>原始资料与8项官方研究分开列示。</x:v>
      </x:c>
      <x:c r="F24" s="95"/>
      <x:c r="G24" s="95"/>
      <x:c r="H24" s="95"/>
      <x:c r="I24" s="95"/>
      <x:c r="J24" s="95"/>
      <x:c r="K24" s="95"/>
      <x:c r="L24" s="95"/>
    </x:row>
    <x:row r="25" ht="26" customHeight="1">
      <x:c r="A25" s="38"/>
      <x:c r="B25" s="38"/>
      <x:c r="C25" s="38"/>
      <x:c r="D25" s="38"/>
      <x:c r="E25" s="38"/>
      <x:c r="F25" s="38"/>
      <x:c r="G25" s="38"/>
      <x:c r="H25" s="38"/>
      <x:c r="I25" s="38"/>
      <x:c r="J25" s="38"/>
      <x:c r="K25" s="38"/>
      <x:c r="L25" s="38"/>
    </x:row>
    <x:row r="26" ht="26" customHeight="1">
      <x:c r="A26" s="78" t="str">
        <x:v>03  版本规则｜改默认值不等于改历史合同</x:v>
      </x:c>
      <x:c r="B26" s="78"/>
      <x:c r="C26" s="78"/>
      <x:c r="D26" s="78"/>
      <x:c r="E26" s="78"/>
      <x:c r="F26" s="78"/>
      <x:c r="G26" s="78"/>
      <x:c r="H26" s="78"/>
      <x:c r="I26" s="78"/>
      <x:c r="J26" s="78"/>
      <x:c r="K26" s="78"/>
      <x:c r="L26" s="78"/>
    </x:row>
    <x:row r="27" ht="35" customHeight="1">
      <x:c r="A27" s="100" t="str">
        <x:v>蓝字为评审可填列；正式确认须填写责任人、依据和日期。原始底稿不在此直接改写。</x:v>
      </x:c>
      <x:c r="B27" s="100"/>
      <x:c r="C27" s="100"/>
      <x:c r="D27" s="100"/>
      <x:c r="E27" s="100"/>
      <x:c r="F27" s="100"/>
      <x:c r="G27" s="100"/>
      <x:c r="H27" s="100"/>
      <x:c r="I27" s="100"/>
      <x:c r="J27" s="100"/>
      <x:c r="K27" s="100"/>
      <x:c r="L27" s="100"/>
    </x:row>
    <x:row r="28" ht="35" customHeight="1">
      <x:c r="A28" s="100" t="str">
        <x:v>每笔订单保存当时价格、首尾款、修改轮次、用途、合同和交付承诺；后续新规则不自动改旧单。</x:v>
      </x:c>
      <x:c r="B28" s="100"/>
      <x:c r="C28" s="100"/>
      <x:c r="D28" s="100"/>
      <x:c r="E28" s="100"/>
      <x:c r="F28" s="100"/>
      <x:c r="G28" s="100"/>
      <x:c r="H28" s="100"/>
      <x:c r="I28" s="100"/>
      <x:c r="J28" s="100"/>
      <x:c r="K28" s="100"/>
      <x:c r="L28" s="100"/>
    </x:row>
    <x:row r="29" ht="35" customHeight="1">
      <x:c r="A29" s="100" t="str">
        <x:v>JSON为同版源记录，Excel是评审视图；指定一人吸收修改再统一导出，避免两份表各改各的。</x:v>
      </x:c>
      <x:c r="B29" s="100"/>
      <x:c r="C29" s="100"/>
      <x:c r="D29" s="100"/>
      <x:c r="E29" s="100"/>
      <x:c r="F29" s="100"/>
      <x:c r="G29" s="100"/>
      <x:c r="H29" s="100"/>
      <x:c r="I29" s="100"/>
      <x:c r="J29" s="100"/>
      <x:c r="K29" s="100"/>
      <x:c r="L29" s="100"/>
    </x:row>
    <x:row r="30" ht="35" customHeight="1">
      <x:c r="A30" s="100" t="str">
        <x:v>安全、授权、付款和商店准入不能由普通运营开关绕过；未核验不等于已通过。</x:v>
      </x:c>
      <x:c r="B30" s="100"/>
      <x:c r="C30" s="100"/>
      <x:c r="D30" s="100"/>
      <x:c r="E30" s="100"/>
      <x:c r="F30" s="100"/>
      <x:c r="G30" s="100"/>
      <x:c r="H30" s="100"/>
      <x:c r="I30" s="100"/>
      <x:c r="J30" s="100"/>
      <x:c r="K30" s="100"/>
      <x:c r="L30" s="100"/>
    </x:row>
    <x:row r="31" ht="26" customHeight="1">
      <x:c r="A31" s="38"/>
      <x:c r="B31" s="38"/>
      <x:c r="C31" s="38"/>
      <x:c r="D31" s="38"/>
      <x:c r="E31" s="38"/>
      <x:c r="F31" s="38"/>
      <x:c r="G31" s="38"/>
      <x:c r="H31" s="38"/>
      <x:c r="I31" s="38"/>
      <x:c r="J31" s="38"/>
      <x:c r="K31" s="38"/>
      <x:c r="L31" s="38"/>
    </x:row>
    <x:row r="32" ht="26" customHeight="1">
      <x:c r="A32" s="38"/>
      <x:c r="B32" s="38"/>
      <x:c r="C32" s="38"/>
      <x:c r="D32" s="38"/>
      <x:c r="E32" s="38"/>
      <x:c r="F32" s="38"/>
      <x:c r="G32" s="38"/>
      <x:c r="H32" s="38"/>
      <x:c r="I32" s="38"/>
      <x:c r="J32" s="38"/>
      <x:c r="K32" s="38"/>
      <x:c r="L32" s="38"/>
    </x:row>
    <x:row r="33" ht="26" customHeight="1">
      <x:c r="A33" s="38"/>
      <x:c r="B33" s="38"/>
      <x:c r="C33" s="38"/>
      <x:c r="D33" s="38"/>
      <x:c r="E33" s="38"/>
      <x:c r="F33" s="38"/>
      <x:c r="G33" s="38"/>
      <x:c r="H33" s="38"/>
      <x:c r="I33" s="38"/>
      <x:c r="J33" s="38"/>
      <x:c r="K33" s="38"/>
      <x:c r="L33" s="38"/>
    </x:row>
    <x:row r="34" ht="26" customHeight="1">
      <x:c r="A34" s="38"/>
      <x:c r="B34" s="38"/>
      <x:c r="C34" s="38"/>
      <x:c r="D34" s="38"/>
      <x:c r="E34" s="38"/>
      <x:c r="F34" s="38"/>
      <x:c r="G34" s="38"/>
      <x:c r="H34" s="38"/>
      <x:c r="I34" s="38"/>
      <x:c r="J34" s="38"/>
      <x:c r="K34" s="38"/>
      <x:c r="L34" s="38"/>
    </x:row>
    <x:row r="35" ht="26" customHeight="1">
      <x:c r="A35" s="38"/>
      <x:c r="B35" s="38"/>
      <x:c r="C35" s="38"/>
      <x:c r="D35" s="38"/>
      <x:c r="E35" s="38"/>
      <x:c r="F35" s="38"/>
      <x:c r="G35" s="38"/>
      <x:c r="H35" s="38"/>
      <x:c r="I35" s="38"/>
      <x:c r="J35" s="38"/>
      <x:c r="K35" s="38"/>
      <x:c r="L35" s="38"/>
    </x:row>
    <x:row r="36" ht="26" customHeight="1">
      <x:c r="A36" s="38"/>
      <x:c r="B36" s="38"/>
      <x:c r="C36" s="38"/>
      <x:c r="D36" s="38"/>
      <x:c r="E36" s="38"/>
      <x:c r="F36" s="38"/>
      <x:c r="G36" s="38"/>
      <x:c r="H36" s="38"/>
      <x:c r="I36" s="38"/>
      <x:c r="J36" s="38"/>
      <x:c r="K36" s="38"/>
      <x:c r="L36" s="38"/>
    </x:row>
    <x:row r="37" ht="26" customHeight="1">
      <x:c r="A37" s="38"/>
      <x:c r="B37" s="38"/>
      <x:c r="C37" s="38"/>
      <x:c r="D37" s="38"/>
      <x:c r="E37" s="38"/>
      <x:c r="F37" s="38"/>
      <x:c r="G37" s="38"/>
      <x:c r="H37" s="38"/>
      <x:c r="I37" s="38"/>
      <x:c r="J37" s="38"/>
      <x:c r="K37" s="38"/>
      <x:c r="L37" s="38"/>
    </x:row>
    <x:row r="38" ht="26" customHeight="1">
      <x:c r="A38" s="38"/>
      <x:c r="B38" s="38"/>
      <x:c r="C38" s="38"/>
      <x:c r="D38" s="38"/>
      <x:c r="E38" s="38"/>
      <x:c r="F38" s="38"/>
      <x:c r="G38" s="38"/>
      <x:c r="H38" s="38"/>
      <x:c r="I38" s="38"/>
      <x:c r="J38" s="38"/>
      <x:c r="K38" s="38"/>
      <x:c r="L38" s="38"/>
    </x:row>
  </x:sheetData>
  <x:mergeCells>
    <x:mergeCell ref="A1:L2"/>
    <x:mergeCell ref="A3:L4"/>
    <x:mergeCell ref="A6:C6"/>
    <x:mergeCell ref="A7:C8"/>
    <x:mergeCell ref="D6:F6"/>
    <x:mergeCell ref="D7:F8"/>
    <x:mergeCell ref="G6:I6"/>
    <x:mergeCell ref="G7:I8"/>
    <x:mergeCell ref="J6:L6"/>
    <x:mergeCell ref="J7:L8"/>
    <x:mergeCell ref="A10:L10"/>
    <x:mergeCell ref="B11:C11"/>
    <x:mergeCell ref="D11:L11"/>
    <x:mergeCell ref="B12:C12"/>
    <x:mergeCell ref="D12:L12"/>
    <x:mergeCell ref="B13:C13"/>
    <x:mergeCell ref="D13:L13"/>
    <x:mergeCell ref="A15:L15"/>
    <x:mergeCell ref="A16:D16"/>
    <x:mergeCell ref="E16:L16"/>
    <x:mergeCell ref="A17:D17"/>
    <x:mergeCell ref="E17:L17"/>
    <x:mergeCell ref="A18:D18"/>
    <x:mergeCell ref="E18:L18"/>
    <x:mergeCell ref="A19:D19"/>
    <x:mergeCell ref="E19:L19"/>
    <x:mergeCell ref="A20:D20"/>
    <x:mergeCell ref="E20:L20"/>
    <x:mergeCell ref="A21:D21"/>
    <x:mergeCell ref="E21:L21"/>
    <x:mergeCell ref="A22:D22"/>
    <x:mergeCell ref="E22:L22"/>
    <x:mergeCell ref="A23:D23"/>
    <x:mergeCell ref="E23:L23"/>
    <x:mergeCell ref="A24:D24"/>
    <x:mergeCell ref="E24:L24"/>
    <x:mergeCell ref="A26:L26"/>
    <x:mergeCell ref="A27:L27"/>
    <x:mergeCell ref="A28:L28"/>
    <x:mergeCell ref="A29:L29"/>
    <x:mergeCell ref="A30:L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6" hidden="0" customWidth="1"/>
    <x:col min="3" max="3" width="9" hidden="0" customWidth="1"/>
    <x:col min="4" max="4" width="36" hidden="0" customWidth="1"/>
    <x:col min="5" max="5" width="52" hidden="0" customWidth="1"/>
    <x:col min="6" max="6" width="40" hidden="0" customWidth="1"/>
    <x:col min="7" max="7" width="40" hidden="0" customWidth="1"/>
    <x:col min="8" max="8" width="48" hidden="0" customWidth="1"/>
    <x:col min="9" max="9" width="28" hidden="0" customWidth="1"/>
    <x:col min="10" max="10" width="32" hidden="0" customWidth="1"/>
  </x:cols>
  <x:sheetData>
    <x:row r="1" ht="24" customHeight="1">
      <x:c r="A1" s="8" t="str">
        <x:v>统一需求台账｜逐条合并与暂定方案</x:v>
      </x:c>
      <x:c r="B1" s="8"/>
      <x:c r="C1" s="8"/>
      <x:c r="D1" s="8"/>
      <x:c r="E1" s="8"/>
      <x:c r="F1" s="8"/>
      <x:c r="G1" s="8"/>
      <x:c r="H1" s="8"/>
      <x:c r="I1" s="8"/>
      <x:c r="J1" s="8"/>
    </x:row>
    <x:row r="2" ht="24" customHeight="1">
      <x:c r="A2" s="8"/>
      <x:c r="B2" s="8"/>
      <x:c r="C2" s="8"/>
      <x:c r="D2" s="8"/>
      <x:c r="E2" s="8"/>
      <x:c r="F2" s="8"/>
      <x:c r="G2" s="8"/>
      <x:c r="H2" s="8"/>
      <x:c r="I2" s="8"/>
      <x:c r="J2" s="8"/>
    </x:row>
    <x:row r="3" ht="22" customHeight="1">
      <x:c r="A3" s="15" t="str">
        <x:v>JX-PC-P0-R0.1 · 2026-09-20。研究暂定不等于正式同意；原32项会议结果保持原样。P0/P1/P2表示上线分期，不表示缺陷严重性。</x:v>
      </x:c>
      <x:c r="B3" s="15"/>
      <x:c r="C3" s="15"/>
      <x:c r="D3" s="15"/>
      <x:c r="E3" s="15"/>
      <x:c r="F3" s="15"/>
      <x:c r="G3" s="15"/>
      <x:c r="H3" s="15"/>
      <x:c r="I3" s="15"/>
      <x:c r="J3" s="15"/>
    </x:row>
    <x:row r="4" ht="22" customHeight="1">
      <x:c r="A4" s="15"/>
      <x:c r="B4" s="15"/>
      <x:c r="C4" s="15"/>
      <x:c r="D4" s="15"/>
      <x:c r="E4" s="15"/>
      <x:c r="F4" s="15"/>
      <x:c r="G4" s="15"/>
      <x:c r="H4" s="15"/>
      <x:c r="I4" s="15"/>
      <x:c r="J4" s="15"/>
    </x:row>
    <x:row r="5">
      <x:c r="A5" s="4"/>
      <x:c r="B5" s="4"/>
      <x:c r="C5" s="4"/>
      <x:c r="D5" s="4"/>
      <x:c r="E5" s="4"/>
      <x:c r="F5" s="4"/>
      <x:c r="G5" s="4"/>
      <x:c r="H5" s="4"/>
      <x:c r="I5" s="4"/>
      <x:c r="J5" s="4"/>
    </x:row>
    <x:row r="6" ht="34" customHeight="1">
      <x:c r="A6" s="24" t="str">
        <x:v>永久编号</x:v>
      </x:c>
      <x:c r="B6" s="24" t="str">
        <x:v>原始来源编号</x:v>
      </x:c>
      <x:c r="C6" s="24" t="str">
        <x:v>分期</x:v>
      </x:c>
      <x:c r="D6" s="24" t="str">
        <x:v>需求事项</x:v>
      </x:c>
      <x:c r="E6" s="24" t="str">
        <x:v>本轮暂定做法</x:v>
      </x:c>
      <x:c r="F6" s="24" t="str">
        <x:v>采用理由</x:v>
      </x:c>
      <x:c r="G6" s="24" t="str">
        <x:v>与原文差异</x:v>
      </x:c>
      <x:c r="H6" s="24" t="str">
        <x:v>正式启用条件</x:v>
      </x:c>
      <x:c r="I6" s="24" t="str">
        <x:v>旧版/模块关联</x:v>
      </x:c>
      <x:c r="J6" s="24" t="str">
        <x:v>来源位置</x:v>
      </x:c>
    </x:row>
    <x:row r="7" ht="95" customHeight="1">
      <x:c r="A7" s="20" t="str">
        <x:v>REQ-001</x:v>
      </x:c>
      <x:c r="B7" s="20" t="str">
        <x:v>V3-A1</x:v>
      </x:c>
      <x:c r="C7" s="20" t="str">
        <x:v>P0</x:v>
      </x:c>
      <x:c r="D7" s="20" t="str">
        <x:v>定制六步的关键数值：首款比例、样片时长、免费修改轮次、向导规则</x:v>
      </x:c>
      <x:c r="E7" s="20" t="str">
        <x:v>首款50%；样片30秒、成片90秒；样片内免费2轮集中修改；反馈48小时提醒，不自动验收。付款前可返回改选，付款后重大变更另报价。</x:v>
      </x:c>
      <x:c r="F7" s="20" t="str">
        <x:v>把样片确认保留为核心节点；固定一个试制规格，便于验证制作成本和效果。</x:v>
      </x:c>
      <x:c r="G7" s="20" t="str">
        <x:v>细化：原30–60秒样片收窄至30秒；增加成片规格；均为试制值。</x:v>
      </x:c>
      <x:c r="H7" s="20" t="str">
        <x:v>样片/成片试制、渠道计费与订单合同通过后才对外售卖。</x:v>
      </x:c>
      <x:c r="I7" s="20" t="str">
        <x:v>V2-D05,D06,D09,D17,D23</x:v>
      </x:c>
      <x:c r="J7" s="20" t="str">
        <x:v>S03§4.2/§6.2;S05:2</x:v>
      </x:c>
    </x:row>
    <x:row r="8" ht="95" customHeight="1">
      <x:c r="A8" s="20" t="str">
        <x:v>REQ-002</x:v>
      </x:c>
      <x:c r="B8" s="20" t="str">
        <x:v>V3-A2</x:v>
      </x:c>
      <x:c r="C8" s="20" t="str">
        <x:v>P0</x:v>
      </x:c>
      <x:c r="D8" s="20" t="str">
        <x:v>分阶段退款规则（首款后、制作中、样片后、尾款后、交付后分别怎么退）</x:v>
      </x:c>
      <x:c r="E8" s="20" t="str">
        <x:v>未开工取消全退，不另扣通道费；用户中止制作按事先披露且有凭证的合理已完成工作结算；质量不符先免费修正，仍不符依法退款/补救。</x:v>
      </x:c>
      <x:c r="F8" s="20" t="str">
        <x:v>区分主观改意与平台未履约；首款到账不代表平台已赚取全部首款。</x:v>
      </x:c>
      <x:c r="G8" s="20" t="str">
        <x:v>修订：不沿用未开工扣通道费、30%刚性扣款及交付后一律不退。</x:v>
      </x:c>
      <x:c r="H8" s="20" t="str">
        <x:v>退款条款须完成消费者权益审查；IAP退款按Apple实际流程处理。</x:v>
      </x:c>
      <x:c r="I8" s="20" t="str">
        <x:v>V2-D16,D17,D23</x:v>
      </x:c>
      <x:c r="J8" s="20" t="str">
        <x:v>S05:3;WEB-03</x:v>
      </x:c>
    </x:row>
    <x:row r="9" ht="95" customHeight="1">
      <x:c r="A9" s="20" t="str">
        <x:v>REQ-003</x:v>
      </x:c>
      <x:c r="B9" s="20" t="str">
        <x:v>V3-A3</x:v>
      </x:c>
      <x:c r="C9" s="20" t="str">
        <x:v>P0</x:v>
      </x:c>
      <x:c r="D9" s="20" t="str">
        <x:v>P0 制作供给模式，以及“制作侧在哪交付”（新稿状态机有制作方却无操作面）</x:v>
      </x:c>
      <x:c r="E9" s="20" t="str">
        <x:v>暂按平台真实自营定制服务设计：签约制作班底生产；平台负责对客合同、交付与售后。制作工作台只做接单、样片、修订、成片、暂停原因。</x:v>
      </x:c>
      <x:c r="F9" s="20" t="str">
        <x:v>小规模先由有限团队履约，避免先建设开放商家市场。</x:v>
      </x:c>
      <x:c r="G9" s="20" t="str">
        <x:v>细化自营推荐；补齐对客销售责任，不能只有页面自称自营。</x:v>
      </x:c>
      <x:c r="H9" s="20" t="str">
        <x:v>营业主体、供应商采购合同及实际履约安排一致，否则暂停收款。</x:v>
      </x:c>
      <x:c r="I9" s="20" t="str">
        <x:v>V2-D07,D08,D11</x:v>
      </x:c>
      <x:c r="J9" s="20" t="str">
        <x:v>S05:4</x:v>
      </x:c>
    </x:row>
    <x:row r="10" ht="95" customHeight="1">
      <x:c r="A10" s="20" t="str">
        <x:v>REQ-004</x:v>
      </x:c>
      <x:c r="B10" s="20" t="str">
        <x:v>V3-A4</x:v>
      </x:c>
      <x:c r="C10" s="20" t="str">
        <x:v>P0</x:v>
      </x:c>
      <x:c r="D10" s="20" t="str">
        <x:v>一笔定制费如何分账（新稿账本只有平台/主理人/MCN，缺制作方与陪演）</x:v>
      </x:c>
      <x:c r="E10" s="20" t="str">
        <x:v>P0以销售收入、制作采购、剧本许可、角色许可、通道费等分类核算；不按每笔订单自动给消费者/MCN分红，不开放可提现钱包。</x:v>
      </x:c>
      <x:c r="F10" s="20" t="str">
        <x:v>自营收入与真实采购成本分开，比未开市场就建多方提现更可控。</x:v>
      </x:c>
      <x:c r="G10" s="20" t="str">
        <x:v>范围调整：P0去掉陪演余额分账；撮合结算留到P1。</x:v>
      </x:c>
      <x:c r="H10" s="20" t="str">
        <x:v>核实实际卖方和供应商收款关系；开票/会计分类由财务落实。</x:v>
      </x:c>
      <x:c r="I10" s="20" t="str">
        <x:v>V2-D02,D03,D20,D21</x:v>
      </x:c>
      <x:c r="J10" s="20" t="str">
        <x:v>S05:5</x:v>
      </x:c>
    </x:row>
    <x:row r="11" ht="95" customHeight="1">
      <x:c r="A11" s="20" t="str">
        <x:v>REQ-005</x:v>
      </x:c>
      <x:c r="B11" s="20" t="str">
        <x:v>V3-A5</x:v>
      </x:c>
      <x:c r="C11" s="20" t="str">
        <x:v>P0</x:v>
      </x:c>
      <x:c r="D11" s="20" t="str">
        <x:v>资金合规路径，防范“二清”（无证清分资金）</x:v>
      </x:c>
      <x:c r="E11" s="20" t="str">
        <x:v>真自营采用本商户销售款及独立采购结算；实际为撮合代收时必须另接匹配的持牌平台支付产品。禁止自建资金池、虚构担保和假提现。</x:v>
      </x:c>
      <x:c r="F11" s="20" t="str">
        <x:v>付款方案取决于交易实质，不取决于按钮名称或线下转账形式。</x:v>
      </x:c>
      <x:c r="G11" s="20" t="str">
        <x:v>修订：不把所有自营采购款一概视为二清；不把APP支付说成担保分账。</x:v>
      </x:c>
      <x:c r="H11" s="20" t="str">
        <x:v>支付机构确认业务类别及商户产品；合同/资金图未核定不得实收。</x:v>
      </x:c>
      <x:c r="I11" s="20" t="str">
        <x:v>V2-D21,D23</x:v>
      </x:c>
      <x:c r="J11" s="20" t="str">
        <x:v>S05:6</x:v>
      </x:c>
    </x:row>
    <x:row r="12" ht="95" customHeight="1">
      <x:c r="A12" s="20" t="str">
        <x:v>REQ-006</x:v>
      </x:c>
      <x:c r="B12" s="20" t="str">
        <x:v>V3-A6</x:v>
      </x:c>
      <x:c r="C12" s="20" t="str">
        <x:v>P0</x:v>
      </x:c>
      <x:c r="D12" s="20" t="str">
        <x:v>人脸/声音确权的触发节奏（避免 P0 一注册就被重确权压垮转化）</x:v>
      </x:c>
      <x:c r="E12" s="20" t="str">
        <x:v>采集/处理真人脸声前完成必要核验、充分告知和单独同意；个人创作授权与第三方商用授权分开；商用许可可后置，采集合意不能后置。</x:v>
      </x:c>
      <x:c r="F12" s="20" t="str">
        <x:v>自娱不豁免敏感信息处理义务，手机号登录也不等于肖像授权。</x:v>
      </x:c>
      <x:c r="G12" s="20" t="str">
        <x:v>修订：原“自娱告知即可、商用再单独同意”不采用。</x:v>
      </x:c>
      <x:c r="H12" s="20" t="str">
        <x:v>真人服务商采集条件与隐私协议确认；不合格素材禁止生成。</x:v>
      </x:c>
      <x:c r="I12" s="20" t="str">
        <x:v>V2-D13,D18,D19</x:v>
      </x:c>
      <x:c r="J12" s="20" t="str">
        <x:v>S05:7;WEB-01;WEB-02</x:v>
      </x:c>
    </x:row>
    <x:row r="13" ht="95" customHeight="1">
      <x:c r="A13" s="20" t="str">
        <x:v>REQ-007</x:v>
      </x:c>
      <x:c r="B13" s="20" t="str">
        <x:v>V3-A7</x:v>
      </x:c>
      <x:c r="C13" s="20" t="str">
        <x:v>P0</x:v>
      </x:c>
      <x:c r="D13" s="20" t="str">
        <x:v>三类数字人分别能做哪些动作（类型×动作开放矩阵）</x:v>
      </x:c>
      <x:c r="E13" s="20" t="str">
        <x:v>首批仅本人数字人与平台有充分使用权的虚拟角色；他人/明星及开放陪演不上架。一个人可保留多形象记录，但每次用途及授权范围需校验。</x:v>
      </x:c>
      <x:c r="F13" s="20" t="str">
        <x:v>先缩小供给和侵权风险范围，再扩商业市场。</x:v>
      </x:c>
      <x:c r="G13" s="20" t="str">
        <x:v>范围收窄：原全面动作矩阵保留P1/P2，不因“已存证”全开放。</x:v>
      </x:c>
      <x:c r="H13" s="20" t="str">
        <x:v>本人核验、素材来源、语音许可、供应商真实能力均通过。</x:v>
      </x:c>
      <x:c r="I13" s="20" t="str">
        <x:v>V2-D10,D13,D19,D22</x:v>
      </x:c>
      <x:c r="J13" s="20" t="str">
        <x:v>S05:8;WEB-01;WEB-02</x:v>
      </x:c>
    </x:row>
    <x:row r="14" ht="95" customHeight="1">
      <x:c r="A14" s="20" t="str">
        <x:v>REQ-008</x:v>
      </x:c>
      <x:c r="B14" s="20" t="str">
        <x:v>V3-A8</x:v>
      </x:c>
      <x:c r="C14" s="20" t="str">
        <x:v>P0</x:v>
      </x:c>
      <x:c r="D14" s="20" t="str">
        <x:v>iOS 内购(IAP)与第三方支付的分界（新稿通篇支付却遗漏，必须捡回）</x:v>
      </x:c>
      <x:c r="E14" s="20" t="str">
        <x:v>中国大陆iOS的线上数字交付按IAP路径准备；分两次收费的具体商品结构需核验。安卓用正式支付宝。通道未通过时不开放该端购买。</x:v>
      </x:c>
      <x:c r="F14" s="20" t="str">
        <x:v>人工参与制作或改叫项目费，不能自行推导为IAP例外。</x:v>
      </x:c>
      <x:c r="G14" s="20" t="str">
        <x:v>修订：不写死苹果30%；不把B端/定制自动当作外部支付豁免。</x:v>
      </x:c>
      <x:c r="H14" s="20" t="str">
        <x:v>Apple商品/审核与正式商户分别验证；不得审核后暗开交易。</x:v>
      </x:c>
      <x:c r="I14" s="20" t="str">
        <x:v>V2-D12</x:v>
      </x:c>
      <x:c r="J14" s="20" t="str">
        <x:v>S05:9;WEB-03;WEB-04</x:v>
      </x:c>
    </x:row>
    <x:row r="15" ht="95" customHeight="1">
      <x:c r="A15" s="20" t="str">
        <x:v>REQ-009</x:v>
      </x:c>
      <x:c r="B15" s="20" t="str">
        <x:v>V3-A9</x:v>
      </x:c>
      <x:c r="C15" s="20" t="str">
        <x:v>P0</x:v>
      </x:c>
      <x:c r="D15" s="20" t="str">
        <x:v>底部导航结构与“对内自娱/对外发行”两线隔离</x:v>
      </x:c>
      <x:c r="E15" s="20" t="str">
        <x:v>长期保留建立数字人、入戏、培育、成角四阶段；P0公开导航只显示首页、入戏、我的，数字人从首页/我的进入；未开放交易不挂空入口。</x:v>
      </x:c>
      <x:c r="F15" s="20" t="str">
        <x:v>用户应只看到实际可用服务；不为未来业务增加首页混乱。</x:v>
      </x:c>
      <x:c r="G15" s="20" t="str">
        <x:v>明确偏离：原5Tab改为P0三入口，培育/成角后续公开。</x:v>
      </x:c>
      <x:c r="H15" s="20" t="str">
        <x:v>上架文案、功能与真实开放范围一致。</x:v>
      </x:c>
      <x:c r="I15" s="20" t="str">
        <x:v>V2-D11</x:v>
      </x:c>
      <x:c r="J15" s="20" t="str">
        <x:v>S05:10;WEB-03</x:v>
      </x:c>
    </x:row>
    <x:row r="16" ht="95" customHeight="1">
      <x:c r="A16" s="20" t="str">
        <x:v>REQ-010</x:v>
      </x:c>
      <x:c r="B16" s="20" t="str">
        <x:v>V3-B1</x:v>
      </x:c>
      <x:c r="C16" s="20" t="str">
        <x:v>P0</x:v>
      </x:c>
      <x:c r="D16" s="20" t="str">
        <x:v>单独同意 + 电子授权书 + 授权状态机如何落地</x:v>
      </x:c>
      <x:c r="E16" s="20" t="str">
        <x:v>把身份核验、脸声同意、用途许可、证据、期限/撤回、模型可用性分别记录；页面可汇总授权状态，不用单一“已存证”判断一切。</x:v>
      </x:c>
      <x:c r="F16" s="20" t="str">
        <x:v>实名认证、证据保存和使用权是不同事实；存证不能治愈无权授权。</x:v>
      </x:c>
      <x:c r="G16" s="20" t="str">
        <x:v>结构细化：保留9态作展示参考，不把9态直接作为唯一授权逻辑。</x:v>
      </x:c>
      <x:c r="H16" s="20" t="str">
        <x:v>授权书和电子签/证据保存方式审查通过；不称平台政府确权证书。</x:v>
      </x:c>
      <x:c r="I16" s="20" t="str">
        <x:v>V2-D05,D13,D19</x:v>
      </x:c>
      <x:c r="J16" s="20" t="str">
        <x:v>S03§10.5;S05:11;WEB-01</x:v>
      </x:c>
    </x:row>
    <x:row r="17" ht="95" customHeight="1">
      <x:c r="A17" s="20" t="str">
        <x:v>REQ-011</x:v>
      </x:c>
      <x:c r="B17" s="20" t="str">
        <x:v>V3-B2</x:v>
      </x:c>
      <x:c r="C17" s="20" t="str">
        <x:v>P0</x:v>
      </x:c>
      <x:c r="D17" s="20" t="str">
        <x:v>AI 生成内容的显式+隐式标识</x:v>
      </x:c>
      <x:c r="E17" s="20" t="str">
        <x:v>预览、导出与交付都保留清楚AI提示及适用的文件隐式标识；不提供去标版。角标/片头样式须经实际转码和导出验证。</x:v>
      </x:c>
      <x:c r="F17" s="20" t="str">
        <x:v>要标识的是用户拿到的文件，不只是播放器页面。</x:v>
      </x:c>
      <x:c r="G17" s="20" t="str">
        <x:v>保留强制标识；不把“片头3秒”当作法律统一时长标准。</x:v>
      </x:c>
      <x:c r="H17" s="20" t="str">
        <x:v>按现行标识办法及适用标准验收；确认上游标识是否在转码中丢失。</x:v>
      </x:c>
      <x:c r="I17" s="20" t="str">
        <x:v>V2-D19</x:v>
      </x:c>
      <x:c r="J17" s="20" t="str">
        <x:v>S05:12;WEB-05</x:v>
      </x:c>
    </x:row>
    <x:row r="18" ht="95" customHeight="1">
      <x:c r="A18" s="20" t="str">
        <x:v>REQ-012</x:v>
      </x:c>
      <x:c r="B18" s="20" t="str">
        <x:v>V3-B3</x:v>
      </x:c>
      <x:c r="C18" s="20" t="str">
        <x:v>P0</x:v>
      </x:c>
      <x:c r="D18" s="20" t="str">
        <x:v>授权到期提醒、撤回与删除的处理口径</x:v>
      </x:c>
      <x:c r="E18" s="20" t="str">
        <x:v>撤回后立即停止新增使用；在制任务暂停并核查继续处理依据；清理上游资产及本地必要数据；已交付副本按权限/法律处置，不承诺远程删除。</x:v>
      </x:c>
      <x:c r="F18" s="20" t="str">
        <x:v>历史合法处理不被自动否定，不代表撤回后仍可无限继续处理。</x:v>
      </x:c>
      <x:c r="G18" s="20" t="str">
        <x:v>修订：不使用“订单已成立所以可继续所有生成”的默认规则。</x:v>
      </x:c>
      <x:c r="H18" s="20" t="str">
        <x:v>法务确认合同许可与个人信息同意的区别；记录第三方删除结果。</x:v>
      </x:c>
      <x:c r="I18" s="20" t="str">
        <x:v>V2-D16,D19</x:v>
      </x:c>
      <x:c r="J18" s="20" t="str">
        <x:v>S05:13;WEB-01</x:v>
      </x:c>
    </x:row>
    <x:row r="19" ht="95" customHeight="1">
      <x:c r="A19" s="20" t="str">
        <x:v>REQ-013</x:v>
      </x:c>
      <x:c r="B19" s="20" t="str">
        <x:v>V3-B4</x:v>
      </x:c>
      <x:c r="C19" s="20" t="str">
        <x:v>P0</x:v>
      </x:c>
      <x:c r="D19" s="20" t="str">
        <x:v>应用侧算法备案/生成式AI服务登记 + 安全评估</x:v>
      </x:c>
      <x:c r="E19" s="20" t="str">
        <x:v>建立应用、模型、数据流、公众展示范围清单；向属地主管部门核验登记/备案/评估路径，分别记录申请、受理、通过和材料。</x:v>
      </x:c>
      <x:c r="F19" s="20" t="str">
        <x:v>应用的义务不能由上游模型备案替代；不把所有手续合并叫简化登记。</x:v>
      </x:c>
      <x:c r="G19" s="20" t="str">
        <x:v>修订：原默认简化登记+安评改为分项适用性核验。</x:v>
      </x:c>
      <x:c r="H19" s="20" t="str">
        <x:v>外部专业适用性结论与官方材料；本轮不认定已备案。</x:v>
      </x:c>
      <x:c r="I19" s="20" t="str">
        <x:v>V2-D12,D19</x:v>
      </x:c>
      <x:c r="J19" s="20" t="str">
        <x:v>S05:14;WEB-02</x:v>
      </x:c>
    </x:row>
    <x:row r="20" ht="95" customHeight="1">
      <x:c r="A20" s="20" t="str">
        <x:v>REQ-014</x:v>
      </x:c>
      <x:c r="B20" s="20" t="str">
        <x:v>V3-B5</x:v>
      </x:c>
      <x:c r="C20" s="20" t="str">
        <x:v>P0</x:v>
      </x:c>
      <x:c r="D20" s="20" t="str">
        <x:v>确权服务商选型与成本由谁承担</x:v>
      </x:c>
      <x:c r="E20" s="20" t="str">
        <x:v>先保留身份确认、授权全文、版本、时间、证据；优先考察能统一签署与证据导出的服务。不自建CA，不在P0销售版权证书/公证套餐。</x:v>
      </x:c>
      <x:c r="F20" s="20" t="str">
        <x:v>不为形式叠加多家存证；证据服务与权利有效性分别管理。</x:v>
      </x:c>
      <x:c r="G20" s="20" t="str">
        <x:v>范围收窄：不要求一开始单独接电子签+司法链两家；登记增值后置。</x:v>
      </x:c>
      <x:c r="H20" s="20" t="str">
        <x:v>采购报价、认证服务关系、证据导出及删除义务真实核验。</x:v>
      </x:c>
      <x:c r="I20" s="20" t="str">
        <x:v>V2-D05,D19</x:v>
      </x:c>
      <x:c r="J20" s="20" t="str">
        <x:v>S05:15;WEB-01</x:v>
      </x:c>
    </x:row>
    <x:row r="21" ht="95" customHeight="1">
      <x:c r="A21" s="20" t="str">
        <x:v>REQ-015</x:v>
      </x:c>
      <x:c r="B21" s="20" t="str">
        <x:v>V3-B6</x:v>
      </x:c>
      <x:c r="C21" s="20" t="str">
        <x:v>P0</x:v>
      </x:c>
      <x:c r="D21" s="20" t="str">
        <x:v>公司资质与证照办理时序</x:v>
      </x:c>
      <x:c r="E21" s="20" t="str">
        <x:v>北京主体、域名、App名称/签名、软著、APP备案、商店账号并行准备；经营许可、等保级别、跨境数据等按实际功能逐项判断。</x:v>
      </x:c>
      <x:c r="F21" s="20" t="str">
        <x:v>公司成立、登记材料准备与正式准入是不同进度。</x:v>
      </x:c>
      <x:c r="G21" s="20" t="str">
        <x:v>修订：不因人脸/声纹直接断言等保三级；不把盈利一律等同某一电信许可。</x:v>
      </x:c>
      <x:c r="H21" s="20" t="str">
        <x:v>公司证照与专业定级/许可意见；所有状态以实际材料为准。</x:v>
      </x:c>
      <x:c r="I21" s="20" t="str">
        <x:v>V2-D12,D19</x:v>
      </x:c>
      <x:c r="J21" s="20" t="str">
        <x:v>S05:16</x:v>
      </x:c>
    </x:row>
    <x:row r="22" ht="95" customHeight="1">
      <x:c r="A22" s="20" t="str">
        <x:v>REQ-016</x:v>
      </x:c>
      <x:c r="B22" s="20" t="str">
        <x:v>V3-B7</x:v>
      </x:c>
      <x:c r="C22" s="20" t="str">
        <x:v>P1</x:v>
      </x:c>
      <x:c r="D22" s="20" t="str">
        <x:v>MCN 分销层级与计酬红线</x:v>
      </x:c>
      <x:c r="E22" s="20" t="str">
        <x:v>P0无分销；P1首发仍不做多层团队佣金，必要时仅考虑真实成交的直接推广服务费，单独合规审查。</x:v>
      </x:c>
      <x:c r="F22" s="20" t="str">
        <x:v>层数不是合法性唯一标准，不能把二级当安全通行证。</x:v>
      </x:c>
      <x:c r="G22" s="20" t="str">
        <x:v>修订：不沿用“最多二级就安全”；费用必须对应真实服务。</x:v>
      </x:c>
      <x:c r="H22" s="20" t="str">
        <x:v>分销制度如启用须专项审查，不按入门费或拉人头计酬。</x:v>
      </x:c>
      <x:c r="I22" s="20" t="str">
        <x:v>V2-D21</x:v>
      </x:c>
      <x:c r="J22" s="20" t="str">
        <x:v>S05:17</x:v>
      </x:c>
    </x:row>
    <x:row r="23" ht="95" customHeight="1">
      <x:c r="A23" s="20" t="str">
        <x:v>REQ-017</x:v>
      </x:c>
      <x:c r="B23" s="20" t="str">
        <x:v>V3-B8</x:v>
      </x:c>
      <x:c r="C23" s="20" t="str">
        <x:v>P1</x:v>
      </x:c>
      <x:c r="D23" s="20" t="str">
        <x:v>商单/广告合规与禁入品类</x:v>
      </x:c>
      <x:c r="E23" s="20" t="str">
        <x:v>先限制低风险内容服务；广告类逐品类核验资质、素材、证明和标识，数字人不得虚构真实使用体验。</x:v>
      </x:c>
      <x:c r="F23" s="20" t="str">
        <x:v>有肖像授权不代表有权作任意商品效果背书。</x:v>
      </x:c>
      <x:c r="G23" s="20" t="str">
        <x:v>修订：不把“真实使用或合法授权”作为可替代条件。</x:v>
      </x:c>
      <x:c r="H23" s="20" t="str">
        <x:v>广告主体、行业要求与审核规则明确后开放。</x:v>
      </x:c>
      <x:c r="I23" s="20" t="str">
        <x:v>V2-D19,D23</x:v>
      </x:c>
      <x:c r="J23" s="20" t="str">
        <x:v>S05:18</x:v>
      </x:c>
    </x:row>
    <x:row r="24" ht="95" customHeight="1">
      <x:c r="A24" s="20" t="str">
        <x:v>REQ-018</x:v>
      </x:c>
      <x:c r="B24" s="20" t="str">
        <x:v>V3-C1</x:v>
      </x:c>
      <x:c r="C24" s="20" t="str">
        <x:v>P1</x:v>
      </x:c>
      <x:c r="D24" s="20" t="str">
        <x:v>平台抽佣比例与 MCN 分成方式</x:v>
      </x:c>
      <x:c r="E24" s="20" t="str">
        <x:v>20%仅作为P1佣金测算情景；计佣基数须独立定义。P0自营按销售与采购核算，不启用该比例。</x:v>
      </x:c>
      <x:c r="F24" s="20" t="str">
        <x:v>平台毛利不是统一抽佣率，混算会重复扣费。</x:v>
      </x:c>
      <x:c r="G24" s="20" t="str">
        <x:v>后置；原15–30%不自动成为运营任意调价权限。</x:v>
      </x:c>
      <x:c r="H24" s="20" t="str">
        <x:v>确定真实结算对象、税费、通道成本并经合作合同同意。</x:v>
      </x:c>
      <x:c r="I24" s="20" t="str">
        <x:v>V2-D02,D21</x:v>
      </x:c>
      <x:c r="J24" s="20" t="str">
        <x:v>S05:19;WEB-06</x:v>
      </x:c>
    </x:row>
    <x:row r="25" ht="95" customHeight="1">
      <x:c r="A25" s="20" t="str">
        <x:v>REQ-019</x:v>
      </x:c>
      <x:c r="B25" s="20" t="str">
        <x:v>V3-C2</x:v>
      </x:c>
      <x:c r="C25" s="20" t="str">
        <x:v>P1</x:v>
      </x:c>
      <x:c r="D25" s="20" t="str">
        <x:v>结算周期、提现规则与个人个税代扣</x:v>
      </x:c>
      <x:c r="E25" s="20" t="str">
        <x:v>P0无充值/提现钱包；P1展示渠道确认的应结算与已付款，提现时效依真实产品。税务分类依实际服务与身份，不默认统一税率。</x:v>
      </x:c>
      <x:c r="F25" s="20" t="str">
        <x:v>记录余额不等于真实资金托管；不能先承诺T+N再找代付。</x:v>
      </x:c>
      <x:c r="G25" s="20" t="str">
        <x:v>后置；不采用未经核验的T+1/T+3或默认委托代征。</x:v>
      </x:c>
      <x:c r="H25" s="20" t="str">
        <x:v>支付、代付、财税责任和对账机制落实。</x:v>
      </x:c>
      <x:c r="I25" s="20" t="str">
        <x:v>V2-D20,D21</x:v>
      </x:c>
      <x:c r="J25" s="20" t="str">
        <x:v>S05:20</x:v>
      </x:c>
    </x:row>
    <x:row r="26" ht="95" customHeight="1">
      <x:c r="A26" s="20" t="str">
        <x:v>REQ-020</x:v>
      </x:c>
      <x:c r="B26" s="20" t="str">
        <x:v>V3-C3</x:v>
      </x:c>
      <x:c r="C26" s="20" t="str">
        <x:v>P1</x:v>
      </x:c>
      <x:c r="D26" s="20" t="str">
        <x:v>热度/新兴/地区三大榜单算法与防刷</x:v>
      </x:c>
      <x:c r="E26" s="20" t="str">
        <x:v>P0展示人工维护的真实案例，不虚构销量/热度；P1先定义去重订单、完成率等可解释指标，再决定榜单权重。</x:v>
      </x:c>
      <x:c r="F26" s="20" t="str">
        <x:v>没有经营数据时不做复杂排名算法。</x:v>
      </x:c>
      <x:c r="G26" s="20" t="str">
        <x:v>后置榜单；保留基础事件和统计口径设计。</x:v>
      </x:c>
      <x:c r="H26" s="20" t="str">
        <x:v>上线排名前确认统计口径、防刷及个性化推荐相关义务。</x:v>
      </x:c>
      <x:c r="I26" s="20" t="str">
        <x:v>V2-D21</x:v>
      </x:c>
      <x:c r="J26" s="20" t="str">
        <x:v>S05:21</x:v>
      </x:c>
    </x:row>
    <x:row r="27" ht="95" customHeight="1">
      <x:c r="A27" s="20" t="str">
        <x:v>REQ-021</x:v>
      </x:c>
      <x:c r="B27" s="20" t="str">
        <x:v>V3-C4</x:v>
      </x:c>
      <x:c r="C27" s="20" t="str">
        <x:v>P1</x:v>
      </x:c>
      <x:c r="D27" s="20" t="str">
        <x:v>标准档与高端档的服务差异边界</x:v>
      </x:c>
      <x:c r="E27" s="20" t="str">
        <x:v>P0只试一个标准规格；高端服务先不在线自动报价、不承诺名导；真实可交付后才加档位。</x:v>
      </x:c>
      <x:c r="F27" s="20" t="str">
        <x:v>更多套餐会扩大素材、工期和退款复杂度。</x:v>
      </x:c>
      <x:c r="G27" s="20" t="str">
        <x:v>范围收窄；不把推荐双档作为P0必做。</x:v>
      </x:c>
      <x:c r="H27" s="20" t="str">
        <x:v>真实样片、报价、工期和供给能力验证。</x:v>
      </x:c>
      <x:c r="I27" s="20" t="str">
        <x:v>V2-D17,D21</x:v>
      </x:c>
      <x:c r="J27" s="20" t="str">
        <x:v>S05:22</x:v>
      </x:c>
    </x:row>
    <x:row r="28" ht="95" customHeight="1">
      <x:c r="A28" s="20" t="str">
        <x:v>REQ-022</x:v>
      </x:c>
      <x:c r="B28" s="20" t="str">
        <x:v>V3-C5</x:v>
      </x:c>
      <x:c r="C28" s="20" t="str">
        <x:v>P0</x:v>
      </x:c>
      <x:c r="D28" s="20" t="str">
        <x:v>剧本框架(SCRIPT)来源与版权归属</x:v>
      </x:c>
      <x:c r="E28" s="20" t="str">
        <x:v>P0先采购/签约3个可重复使用的故事框架，留存修改、AI处理、私人成片交付许可；AI只辅助润色；项目稿版本不覆盖模板。</x:v>
      </x:c>
      <x:c r="F28" s="20" t="str">
        <x:v>模板是P0生产必需，不宜因表中分期P1而不检查版权。</x:v>
      </x:c>
      <x:c r="G28" s="20" t="str">
        <x:v>分期前移：基础模板库进P0；开放投稿/独家交易后置。</x:v>
      </x:c>
      <x:c r="H28" s="20" t="str">
        <x:v>书面权利来源齐全，模板许可不能仅靠存证替代。</x:v>
      </x:c>
      <x:c r="I28" s="20" t="str">
        <x:v>V2-D06,D07,D09,D19</x:v>
      </x:c>
      <x:c r="J28" s="20" t="str">
        <x:v>S05:23;S03§6.2</x:v>
      </x:c>
    </x:row>
    <x:row r="29" ht="95" customHeight="1">
      <x:c r="A29" s="20" t="str">
        <x:v>REQ-023</x:v>
      </x:c>
      <x:c r="B29" s="20" t="str">
        <x:v>V3-C6</x:v>
      </x:c>
      <x:c r="C29" s="20" t="str">
        <x:v>P1</x:v>
      </x:c>
      <x:c r="D29" s="20" t="str">
        <x:v>机构入驻、数字人独家管理与身份切换</x:v>
      </x:c>
      <x:c r="E29" s="20" t="str">
        <x:v>一数字人同一时段一个主要商务管理方，权利人不变；机构员工使用独立账号；绑定/解绑留痕，旧订单按原关系，不设无依据30天锁定。</x:v>
      </x:c>
      <x:c r="F29" s="20" t="str">
        <x:v>管理权限、授权期限和应收权益不同，不能捆成账号归属。</x:v>
      </x:c>
      <x:c r="G29" s="20" t="str">
        <x:v>后置完整MCN；保留关系基础；30天冷静期不作为默认。</x:v>
      </x:c>
      <x:c r="H29" s="20" t="str">
        <x:v>合同允许范围、进行中事务与实名确认分别处理。</x:v>
      </x:c>
      <x:c r="I29" s="20" t="str">
        <x:v>V2-D10,D11,D14,D18</x:v>
      </x:c>
      <x:c r="J29" s="20" t="str">
        <x:v>S05:24;WEB-06</x:v>
      </x:c>
    </x:row>
    <x:row r="30" ht="95" customHeight="1">
      <x:c r="A30" s="20" t="str">
        <x:v>REQ-024</x:v>
      </x:c>
      <x:c r="B30" s="20" t="str">
        <x:v>V3-C7</x:v>
      </x:c>
      <x:c r="C30" s="20" t="str">
        <x:v>P1</x:v>
      </x:c>
      <x:c r="D30" s="20" t="str">
        <x:v>入戏 / 商单 / 成角三类业务的边界与归类</x:v>
      </x:c>
      <x:c r="E30" s="20" t="str">
        <x:v>下单前区分私人定制、商业委托、发行项目；付款/授权后不允许后台直接改类，需新报价、新授权或关联新项目。</x:v>
      </x:c>
      <x:c r="F30" s="20" t="str">
        <x:v>改类别会同时改变交付、税费、权限和支付路径。</x:v>
      </x:c>
      <x:c r="G30" s="20" t="str">
        <x:v>修订：后台改归类留痕不足以替代用户再确认。</x:v>
      </x:c>
      <x:c r="H30" s="20" t="str">
        <x:v>商业与发行类别各自开放条件满足后启用。</x:v>
      </x:c>
      <x:c r="I30" s="20" t="str">
        <x:v>V2-D01,D12,D23</x:v>
      </x:c>
      <x:c r="J30" s="20" t="str">
        <x:v>S05:25</x:v>
      </x:c>
    </x:row>
    <x:row r="31" ht="95" customHeight="1">
      <x:c r="A31" s="20" t="str">
        <x:v>REQ-025</x:v>
      </x:c>
      <x:c r="B31" s="20" t="str">
        <x:v>V3-D1</x:v>
      </x:c>
      <x:c r="C31" s="20" t="str">
        <x:v>P2</x:v>
      </x:c>
      <x:c r="D31" s="20" t="str">
        <x:v>成角（对外发行）线是否进入 P0</x:v>
      </x:c>
      <x:c r="E31" s="20" t="str">
        <x:v>P0不提供可点击的发行申请或竞拍入口；仅保留内部关联位置。开放发行时另建申请/授权与审核流程。</x:v>
      </x:c>
      <x:c r="F31" s="20" t="str">
        <x:v>空入口不增加闭环价值，还可能误导用户或审查。</x:v>
      </x:c>
      <x:c r="G31" s="20" t="str">
        <x:v>后置范围不变，公开占位入口改为不上架。</x:v>
      </x:c>
      <x:c r="H31" s="20" t="str">
        <x:v>发行业务与渠道条件具备后另行立项。</x:v>
      </x:c>
      <x:c r="I31" s="20" t="str">
        <x:v>V2-D15,D19</x:v>
      </x:c>
      <x:c r="J31" s="20" t="str">
        <x:v>S05:26;WEB-03</x:v>
      </x:c>
    </x:row>
    <x:row r="32" ht="95" customHeight="1">
      <x:c r="A32" s="20" t="str">
        <x:v>REQ-026</x:v>
      </x:c>
      <x:c r="B32" s="20" t="str">
        <x:v>V3-D2</x:v>
      </x:c>
      <x:c r="C32" s="20" t="str">
        <x:v>P2</x:v>
      </x:c>
      <x:c r="D32" s="20" t="str">
        <x:v>出品立项条件与流拍（凑不齐角色）处理</x:v>
      </x:c>
      <x:c r="E32" s="20" t="str">
        <x:v>正式立项需关键角色/授权齐备、制作方承诺、资金来源与排期明确；不把“买满角色”作为唯一开拍条件。</x:v>
      </x:c>
      <x:c r="F32" s="20" t="str">
        <x:v>影视制作是多项条件共同满足，而非纯库存销售。</x:v>
      </x:c>
      <x:c r="G32" s="20" t="str">
        <x:v>后置，并细化条件；失败退款不预设通道费由用户承担。</x:v>
      </x:c>
      <x:c r="H32" s="20" t="str">
        <x:v>出品责任、渠道要求、供应商合同及退款规则确认。</x:v>
      </x:c>
      <x:c r="I32" s="20" t="str">
        <x:v>V2-D15,D16</x:v>
      </x:c>
      <x:c r="J32" s="20" t="str">
        <x:v>S05:27</x:v>
      </x:c>
    </x:row>
    <x:row r="33" ht="95" customHeight="1">
      <x:c r="A33" s="20" t="str">
        <x:v>REQ-027</x:v>
      </x:c>
      <x:c r="B33" s="20" t="str">
        <x:v>V3-D3</x:v>
      </x:c>
      <x:c r="C33" s="20" t="str">
        <x:v>P2</x:v>
      </x:c>
      <x:c r="D33" s="20" t="str">
        <x:v>角色竞拍规则：保证金/出价步长/防狙击/角色权益</x:v>
      </x:c>
      <x:c r="E33" s="20" t="str">
        <x:v>P0不做竞拍；P2先评估定价报名/邀约能否满足选角，再研究竞拍标的、运营资格及付款规则。</x:v>
      </x:c>
      <x:c r="F33" s="20" t="str">
        <x:v>换称角色服务不会自动消除竞拍或投资相关风险。</x:v>
      </x:c>
      <x:c r="G33" s="20" t="str">
        <x:v>后置；原步长10元、延时30秒、保证金方案不进入开发值。</x:v>
      </x:c>
      <x:c r="H33" s="20" t="str">
        <x:v>专项业务/法律评估后才确定竞拍机制。</x:v>
      </x:c>
      <x:c r="I33" s="20" t="str">
        <x:v>V2-D01,D15,D16</x:v>
      </x:c>
      <x:c r="J33" s="20" t="str">
        <x:v>S05:28</x:v>
      </x:c>
    </x:row>
    <x:row r="34" ht="95" customHeight="1">
      <x:c r="A34" s="20" t="str">
        <x:v>REQ-028</x:v>
      </x:c>
      <x:c r="B34" s="20" t="str">
        <x:v>V3-D4</x:v>
      </x:c>
      <x:c r="C34" s="20" t="str">
        <x:v>P2</x:v>
      </x:c>
      <x:c r="D34" s="20" t="str">
        <x:v>自娱内容转对外发行的“转线闸门”</x:v>
      </x:c>
      <x:c r="E34" s="20" t="str">
        <x:v>自娱转公开分享/发行必须新核验全部脸声、模板、音乐、作品许可、适用标识与渠道审查；不得只切换作品状态。</x:v>
      </x:c>
      <x:c r="F34" s="20" t="str">
        <x:v>私人用途和公开用途的授权范围不同。</x:v>
      </x:c>
      <x:c r="G34" s="20" t="str">
        <x:v>保留转线门槛；不把所有虚拟/美化形象必须还原1:1当通用法律规则。</x:v>
      </x:c>
      <x:c r="H34" s="20" t="str">
        <x:v>用途扩展授权、内容与发行资质具备。</x:v>
      </x:c>
      <x:c r="I34" s="20" t="str">
        <x:v>V2-D13,D19</x:v>
      </x:c>
      <x:c r="J34" s="20" t="str">
        <x:v>S05:29;WEB-01;WEB-02</x:v>
      </x:c>
    </x:row>
    <x:row r="35" ht="95" customHeight="1">
      <x:c r="A35" s="20" t="str">
        <x:v>REQ-029</x:v>
      </x:c>
      <x:c r="B35" s="20" t="str">
        <x:v>V3-D5</x:v>
      </x:c>
      <x:c r="C35" s="20" t="str">
        <x:v>P2</x:v>
      </x:c>
      <x:c r="D35" s="20" t="str">
        <x:v>发行前多方确认顺序</x:v>
      </x:c>
      <x:c r="E35" s="20" t="str">
        <x:v>每项目约定谁能确认哪些内容；客户确认制作效果，权利人确认本人用途范围，制作方检查交付，平台检查发行条件。</x:v>
      </x:c>
      <x:c r="F35" s="20" t="str">
        <x:v>不是所有参与者对整个剧本都有同等否决权。</x:v>
      </x:c>
      <x:c r="G35" s="20" t="str">
        <x:v>细化：不写死权利人→导演→平台的唯一串行顺序。</x:v>
      </x:c>
      <x:c r="H35" s="20" t="str">
        <x:v>合同确认矩阵及冲突处理方案明确。</x:v>
      </x:c>
      <x:c r="I35" s="20" t="str">
        <x:v>V2-D09,D13,D17,D18</x:v>
      </x:c>
      <x:c r="J35" s="20" t="str">
        <x:v>S05:30</x:v>
      </x:c>
    </x:row>
    <x:row r="36" ht="95" customHeight="1">
      <x:c r="A36" s="20" t="str">
        <x:v>REQ-030</x:v>
      </x:c>
      <x:c r="B36" s="20" t="str">
        <x:v>V3-D6</x:v>
      </x:c>
      <x:c r="C36" s="20" t="str">
        <x:v>P2</x:v>
      </x:c>
      <x:c r="D36" s="20" t="str">
        <x:v>发行收入可分配口径与结算周期（旧Q8遗留）</x:v>
      </x:c>
      <x:c r="E36" s="20" t="str">
        <x:v>沿用实际到账、明确扣项、结算单确认、锁定及补发扣回记录；先人工导入渠道凭证，线下实际付款回填。</x:v>
      </x:c>
      <x:c r="F36" s="20" t="str">
        <x:v>延续V2有效的发行结算机制，不并入消费钱包。</x:v>
      </x:c>
      <x:c r="G36" s="20" t="str">
        <x:v>保留V2能力并后置P2；月结仅暂定业务目标。</x:v>
      </x:c>
      <x:c r="H36" s="20" t="str">
        <x:v>发行合同、扣项、税务、收款对象与渠道账单核实。</x:v>
      </x:c>
      <x:c r="I36" s="20" t="str">
        <x:v>V2-D01,D02,D03,D04,D20,D21</x:v>
      </x:c>
      <x:c r="J36" s="20" t="str">
        <x:v>S05:31;WEB-06</x:v>
      </x:c>
    </x:row>
    <x:row r="37" ht="95" customHeight="1">
      <x:c r="A37" s="20" t="str">
        <x:v>REQ-031</x:v>
      </x:c>
      <x:c r="B37" s="20" t="str">
        <x:v>V3-D7</x:v>
      </x:c>
      <x:c r="C37" s="20" t="str">
        <x:v>P2</x:v>
      </x:c>
      <x:c r="D37" s="20" t="str">
        <x:v>企业/品牌委托方入口何时开放</x:v>
      </x:c>
      <x:c r="E37" s="20" t="str">
        <x:v>企业线下合作先由商务单独管理，不在P0消费者App收取未定义的企业项目款；企业购买并非自动免IAP。</x:v>
      </x:c>
      <x:c r="F37" s="20" t="str">
        <x:v>C端私人定制与企业广告委托不能混为一个商品。</x:v>
      </x:c>
      <x:c r="G37" s="20" t="str">
        <x:v>后置；如确有当前客户，应另列范围和合同，不暗加P0。</x:v>
      </x:c>
      <x:c r="H37" s="20" t="str">
        <x:v>企业合同、发票、付款与交付路径分别确认。</x:v>
      </x:c>
      <x:c r="I37" s="20" t="str">
        <x:v>V2-D12,D23</x:v>
      </x:c>
      <x:c r="J37" s="20" t="str">
        <x:v>S05:32;WEB-03</x:v>
      </x:c>
    </x:row>
    <x:row r="38" ht="95" customHeight="1">
      <x:c r="A38" s="20" t="str">
        <x:v>REQ-032</x:v>
      </x:c>
      <x:c r="B38" s="20" t="str">
        <x:v>V3-D8</x:v>
      </x:c>
      <x:c r="C38" s="20" t="str">
        <x:v>P2</x:v>
      </x:c>
      <x:c r="D38" s="20" t="str">
        <x:v>数字人身份标识强制国标与监管新规跟踪</x:v>
      </x:c>
      <x:c r="E38" s="20" t="str">
        <x:v>对数字人/发行相关新规建立正式来源、状态、生效日、适用业务及负责人记录；征求意见和试点不当全国现行义务。</x:v>
      </x:c>
      <x:c r="F38" s="20" t="str">
        <x:v>跟踪政策与宣称具备资质是两回事。</x:v>
      </x:c>
      <x:c r="G38" s="20" t="str">
        <x:v>保留跟踪；本轮未核实具体2026试点，不作为已生效条件。</x:v>
      </x:c>
      <x:c r="H38" s="20" t="str">
        <x:v>有正式文本后再评估影响，不依据旧稿转述直接实现。</x:v>
      </x:c>
      <x:c r="I38" s="20" t="str">
        <x:v>V2-D19</x:v>
      </x:c>
      <x:c r="J38" s="20" t="str">
        <x:v>S05:33</x:v>
      </x:c>
    </x:row>
    <x:row r="39" ht="95" customHeight="1">
      <x:c r="A39" s="20" t="str">
        <x:v>REQ-033</x:v>
      </x:c>
      <x:c r="B39" s="20" t="str">
        <x:v>N01</x:v>
      </x:c>
      <x:c r="C39" s="20" t="str">
        <x:v>P0</x:v>
      </x:c>
      <x:c r="D39" s="20" t="str">
        <x:v>产品名与主体</x:v>
      </x:c>
      <x:c r="E39" s="20" t="str">
        <x:v>产品工作名使用晶选片场，项目历史保留晶晶日上；不因此更改已发布包名/签名身份。公司名称以真实营业执照为准。</x:v>
      </x:c>
      <x:c r="F39" s="20" t="str">
        <x:v>名称与App升级身份不同；避免注册/软著/商户错绑。</x:v>
      </x:c>
      <x:c r="G39" s="20" t="str">
        <x:v>补充</x:v>
      </x:c>
      <x:c r="H39" s="20" t="str">
        <x:v>正式名称检索、主体与上架资料核对。</x:v>
      </x:c>
      <x:c r="I39" s="20" t="str">
        <x:v>V2-D12</x:v>
      </x:c>
      <x:c r="J39" s="20" t="str">
        <x:v>S03§1;S04§2</x:v>
      </x:c>
    </x:row>
    <x:row r="40" ht="95" customHeight="1">
      <x:c r="A40" s="20" t="str">
        <x:v>REQ-034</x:v>
      </x:c>
      <x:c r="B40" s="20" t="str">
        <x:v>N02</x:v>
      </x:c>
      <x:c r="C40" s="20" t="str">
        <x:v>P0</x:v>
      </x:c>
      <x:c r="D40" s="20" t="str">
        <x:v>交易身份与责任</x:v>
      </x:c>
      <x:c r="E40" s="20" t="str">
        <x:v>暂按真实自营：平台是客户合同相对方并承担交付/售后，制作机构为采购协作方。不能承担该责任时切换撮合方案并重估范围。</x:v>
      </x:c>
      <x:c r="F40" s="20" t="str">
        <x:v>此决定是设计前提，不是已存在的事实。</x:v>
      </x:c>
      <x:c r="G40" s="20" t="str">
        <x:v>补充顶层条件</x:v>
      </x:c>
      <x:c r="H40" s="20" t="str">
        <x:v>商务/财务/法务共同确认合同和资金图。</x:v>
      </x:c>
      <x:c r="I40" s="20" t="str">
        <x:v>V2-D21,D23</x:v>
      </x:c>
      <x:c r="J40" s="20" t="str">
        <x:v>本轮新增</x:v>
      </x:c>
    </x:row>
    <x:row r="41" ht="95" customHeight="1">
      <x:c r="A41" s="20" t="str">
        <x:v>REQ-035</x:v>
      </x:c>
      <x:c r="B41" s="20" t="str">
        <x:v>N03</x:v>
      </x:c>
      <x:c r="C41" s="20" t="str">
        <x:v>P0</x:v>
      </x:c>
      <x:c r="D41" s="20" t="str">
        <x:v>私人作品的使用边界</x:v>
      </x:c>
      <x:c r="E41" s="20" t="str">
        <x:v>P0仅私人查看、下载留存，不提供公开链接/站内广场发布；禁止商用、冒充与未授权传播。公开社交分享需另核素材许可和规则。</x:v>
      </x:c>
      <x:c r="F41" s="20" t="str">
        <x:v>不能技术上防止用户转载，但可避免平台默认授权公开使用。</x:v>
      </x:c>
      <x:c r="G41" s="20" t="str">
        <x:v>补充；公开分享与公开发行不是同一个概念</x:v>
      </x:c>
      <x:c r="H41" s="20" t="str">
        <x:v>下单前披露范围，下载文件保留AI标识。</x:v>
      </x:c>
      <x:c r="I41" s="20" t="str">
        <x:v>V2-D18,D19</x:v>
      </x:c>
      <x:c r="J41" s="20" t="str">
        <x:v>S03§1.2/§4.2</x:v>
      </x:c>
    </x:row>
    <x:row r="42" ht="95" customHeight="1">
      <x:c r="A42" s="20" t="str">
        <x:v>REQ-036</x:v>
      </x:c>
      <x:c r="B42" s="20" t="str">
        <x:v>N04</x:v>
      </x:c>
      <x:c r="C42" s="20" t="str">
        <x:v>P0</x:v>
      </x:c>
      <x:c r="D42" s="20" t="str">
        <x:v>成果权利分层</x:v>
      </x:c>
      <x:c r="E42" s="20" t="str">
        <x:v>合同分开记录真人脸声、模板、音乐、模型服务和成片使用范围；不承诺“付款即买断一切”或“必然拥有AI作品版权”。</x:v>
      </x:c>
      <x:c r="F42" s="20" t="str">
        <x:v>原材料授权和成片权利不能用一个所属字段替代。</x:v>
      </x:c>
      <x:c r="G42" s="20" t="str">
        <x:v>补回V2权利边界</x:v>
      </x:c>
      <x:c r="H42" s="20" t="str">
        <x:v>采购许可与用户授权文本明确，案例宣传另获同意。</x:v>
      </x:c>
      <x:c r="I42" s="20" t="str">
        <x:v>V2-D19</x:v>
      </x:c>
      <x:c r="J42" s="20" t="str">
        <x:v>S02:D19</x:v>
      </x:c>
    </x:row>
    <x:row r="43" ht="95" customHeight="1">
      <x:c r="A43" s="20" t="str">
        <x:v>REQ-037</x:v>
      </x:c>
      <x:c r="B43" s="20" t="str">
        <x:v>N05</x:v>
      </x:c>
      <x:c r="C43" s="20" t="str">
        <x:v>P0</x:v>
      </x:c>
      <x:c r="D43" s="20" t="str">
        <x:v>年龄与授权人</x:v>
      </x:c>
      <x:c r="E43" s="20" t="str">
        <x:v>P0不面向未成年人开放真人建模和付费定制；浏览与未成年人数据处理另有保护规则。18岁为试运营产品门槛，不称法定统一年龄。</x:v>
      </x:c>
      <x:c r="F43" s="20" t="str">
        <x:v>避免在首版增加监护/童星授权链，同时仍尽到合理识别责任。</x:v>
      </x:c>
      <x:c r="G43" s="20" t="str">
        <x:v>补回V2范围建议</x:v>
      </x:c>
      <x:c r="H43" s="20" t="str">
        <x:v>年龄核验与异常处置；不只依赖免责声明。</x:v>
      </x:c>
      <x:c r="I43" s="20" t="str">
        <x:v>V2-D22</x:v>
      </x:c>
      <x:c r="J43" s="20" t="str">
        <x:v>S02:D22;WEB-01</x:v>
      </x:c>
    </x:row>
    <x:row r="44" ht="95" customHeight="1">
      <x:c r="A44" s="20" t="str">
        <x:v>REQ-038</x:v>
      </x:c>
      <x:c r="B44" s="20" t="str">
        <x:v>N06</x:v>
      </x:c>
      <x:c r="C44" s="20" t="str">
        <x:v>P0</x:v>
      </x:c>
      <x:c r="D44" s="20" t="str">
        <x:v>标准交付与验收</x:v>
      </x:c>
      <x:c r="E44" s="20" t="str">
        <x:v>试制一款：90秒9:16成片、30秒样片、1080p；1个本人主角+最多1个有权使用的虚拟配角；以台词、时长、角色、标识与文件质量验收。</x:v>
      </x:c>
      <x:c r="F44" s="20" t="str">
        <x:v>有明确作品规格才有价格、成本和售后标准。</x:v>
      </x:c>
      <x:c r="G44" s="20" t="str">
        <x:v>本轮试制假设</x:v>
      </x:c>
      <x:c r="H44" s="20" t="str">
        <x:v>至少完成内部试片；不许直接把试制规格当已验证承诺。</x:v>
      </x:c>
      <x:c r="I44" s="20" t="str">
        <x:v>V2-D09,D17</x:v>
      </x:c>
      <x:c r="J44" s="20" t="str">
        <x:v>本轮新增</x:v>
      </x:c>
    </x:row>
    <x:row r="45" ht="95" customHeight="1">
      <x:c r="A45" s="20" t="str">
        <x:v>REQ-039</x:v>
      </x:c>
      <x:c r="B45" s="20" t="str">
        <x:v>N07</x:v>
      </x:c>
      <x:c r="C45" s="20" t="str">
        <x:v>P0</x:v>
      </x:c>
      <x:c r="D45" s="20" t="str">
        <x:v>长期数字人验收</x:v>
      </x:c>
      <x:c r="E45" s="20" t="str">
        <x:v>一次有效授权后可重复选择同一数字人生成多部作品；资产可停用/撤回，脸声质量经实际样本验收。不以有avatarId证明专属模型或质量。</x:v>
      </x:c>
      <x:c r="F45" s="20" t="str">
        <x:v>可复用素材资产和专属训练模型并非等价，关键是已确认体验与权限。</x:v>
      </x:c>
      <x:c r="G45" s="20" t="str">
        <x:v>补充技术采购验收边界</x:v>
      </x:c>
      <x:c r="H45" s="20" t="str">
        <x:v>火山具体产品、权限、用途、三次生成及删除验证。</x:v>
      </x:c>
      <x:c r="I45" s="20" t="str">
        <x:v>V2-D13,D19</x:v>
      </x:c>
      <x:c r="J45" s="20" t="str">
        <x:v>用户明确长期复用需求;S03§10</x:v>
      </x:c>
    </x:row>
    <x:row r="46" ht="95" customHeight="1">
      <x:c r="A46" s="20" t="str">
        <x:v>REQ-040</x:v>
      </x:c>
      <x:c r="B46" s="20" t="str">
        <x:v>N08</x:v>
      </x:c>
      <x:c r="C46" s="20" t="str">
        <x:v>P0</x:v>
      </x:c>
      <x:c r="D46" s="20" t="str">
        <x:v>定价与制作产能</x:v>
      </x:c>
      <x:c r="E46" s="20" t="str">
        <x:v>先完成5条内部试片，记录人工、生成/失败重试、授权、审核、售后、渠道成本；首轮最多5单在制，20个真实订单后复盘。售价逐单审核。</x:v>
      </x:c>
      <x:c r="F46" s="20" t="str">
        <x:v>没有真实成本前不沿用5000元或70%毛利作为承诺。</x:v>
      </x:c>
      <x:c r="G46" s="20" t="str">
        <x:v>本轮经营假设</x:v>
      </x:c>
      <x:c r="H46" s="20" t="str">
        <x:v>营业、支付、隐私等公开收费门槛全部满足后才能真实接单。</x:v>
      </x:c>
      <x:c r="I46" s="20" t="str">
        <x:v>V2-D21</x:v>
      </x:c>
      <x:c r="J46" s="20" t="str">
        <x:v>S03§6.2</x:v>
      </x:c>
    </x:row>
    <x:row r="47" ht="95" customHeight="1">
      <x:c r="A47" s="20" t="str">
        <x:v>REQ-041</x:v>
      </x:c>
      <x:c r="B47" s="20" t="str">
        <x:v>N09</x:v>
      </x:c>
      <x:c r="C47" s="20" t="str">
        <x:v>P0</x:v>
      </x:c>
      <x:c r="D47" s="20" t="str">
        <x:v>数据保留与删除</x:v>
      </x:c>
      <x:c r="E47" s="20" t="str">
        <x:v>原料、长期数字资产、成片和合同证据分别定保留期；成片在线访问试定180天并提前30天提醒下载，不宣称永久云存储。</x:v>
      </x:c>
      <x:c r="F47" s="20" t="str">
        <x:v>撤回、可追溯与最小保存须同时设计，不能全删或永远存。</x:v>
      </x:c>
      <x:c r="G47" s="20" t="str">
        <x:v>本轮存储假设</x:v>
      </x:c>
      <x:c r="H47" s="20" t="str">
        <x:v>隐私/服务条款与成本审查；生物素材按必要用途单独审批。</x:v>
      </x:c>
      <x:c r="I47" s="20" t="str">
        <x:v>V2-D18,D19</x:v>
      </x:c>
      <x:c r="J47" s="20" t="str">
        <x:v>WEB-01</x:v>
      </x:c>
    </x:row>
    <x:row r="48" ht="95" customHeight="1">
      <x:c r="A48" s="20" t="str">
        <x:v>REQ-042</x:v>
      </x:c>
      <x:c r="B48" s="20" t="str">
        <x:v>N10</x:v>
      </x:c>
      <x:c r="C48" s="20" t="str">
        <x:v>P0</x:v>
      </x:c>
      <x:c r="D48" s="20" t="str">
        <x:v>规则版本与历史订单</x:v>
      </x:c>
      <x:c r="E48" s="20" t="str">
        <x:v>下单保存报价、付款节点、修改次数、交付规格、退款、许可与规则版本；日后改价/改比例默认只影响新订单。</x:v>
      </x:c>
      <x:c r="F48" s="20" t="str">
        <x:v>可调整不等于可改写已经承诺的权益。</x:v>
      </x:c>
      <x:c r="G48" s="20" t="str">
        <x:v>新增治理底线</x:v>
      </x:c>
      <x:c r="H48" s="20" t="str">
        <x:v>涉及在制单变更应另获确认；违法/侵权/安全事件需专项处置。</x:v>
      </x:c>
      <x:c r="I48" s="20" t="str">
        <x:v>V2-D14,D20</x:v>
      </x:c>
      <x:c r="J48" s="20" t="str">
        <x:v>WEB-06;WEB-08</x:v>
      </x:c>
    </x:row>
    <x:row r="49" ht="95" customHeight="1">
      <x:c r="A49" s="20" t="str">
        <x:v>REQ-043</x:v>
      </x:c>
      <x:c r="B49" s="20" t="str">
        <x:v>N11</x:v>
      </x:c>
      <x:c r="C49" s="20" t="str">
        <x:v>P0</x:v>
      </x:c>
      <x:c r="D49" s="20" t="str">
        <x:v>异常与暂停处理</x:v>
      </x:c>
      <x:c r="E49" s="20" t="str">
        <x:v>付款结果、制作进度、授权有效性分别保存；退款中/失败、授权撤回、任务失败、暂停和恢复均有原因与操作人，不用一个完成按钮包办。</x:v>
      </x:c>
      <x:c r="F49" s="20" t="str">
        <x:v>新版成功主流程尚不足以处理真实异常。</x:v>
      </x:c>
      <x:c r="G49" s="20" t="str">
        <x:v>补充异常流程</x:v>
      </x:c>
      <x:c r="H49" s="20" t="str">
        <x:v>退款/支付仅由真实渠道确认；生产错误不得演示回退。</x:v>
      </x:c>
      <x:c r="I49" s="20" t="str">
        <x:v>V2-D16,D23</x:v>
      </x:c>
      <x:c r="J49" s="20" t="str">
        <x:v>S03§4;S01</x:v>
      </x:c>
    </x:row>
    <x:row r="50" ht="95" customHeight="1">
      <x:c r="A50" s="20" t="str">
        <x:v>REQ-044</x:v>
      </x:c>
      <x:c r="B50" s="20" t="str">
        <x:v>N12</x:v>
      </x:c>
      <x:c r="C50" s="20" t="str">
        <x:v>P0</x:v>
      </x:c>
      <x:c r="D50" s="20" t="str">
        <x:v>需求变更与发布权限</x:v>
      </x:c>
      <x:c r="E50" s="20" t="str">
        <x:v>所有新想法先登记来源和影响，区分普通参数、流程改动和权利/资金变化；开发验证与生产启用分开批准，文档/图/PPT只做同源视图。</x:v>
      </x:c>
      <x:c r="F50" s="20" t="str">
        <x:v>防止又出现多个版本各自为准。</x:v>
      </x:c>
      <x:c r="G50" s="20" t="str">
        <x:v>新增治理方式</x:v>
      </x:c>
      <x:c r="H50" s="20" t="str">
        <x:v>业务/财务/法务/技术按职责审批；关键字段不能任意后台改。</x:v>
      </x:c>
      <x:c r="I50" s="20" t="str">
        <x:v>V2-D01–D23</x:v>
      </x:c>
      <x:c r="J50" s="20" t="str">
        <x:v>本轮授权研究</x:v>
      </x:c>
    </x:row>
  </x:sheetData>
  <x:mergeCells>
    <x:mergeCell ref="A1:J2"/>
    <x:mergeCell ref="A3:J4"/>
  </x:mergeCells>
  <x:conditionalFormatting sqref="C7:C50">
    <x:cfRule type="expression" dxfId="0" priority="1">
      <x:formula>$C7="P0"</x:formula>
    </x:cfRule>
    <x:cfRule type="expression" dxfId="1" priority="2">
      <x:formula>$C7="P1"</x:formula>
    </x:cfRule>
    <x:cfRule type="expression" dxfId="2" priority="3">
      <x:formula>$C7="P2"</x:formula>
    </x:cfRule>
  </x:conditionalFormatting>
  <x:dataValidations count="1">
    <x:dataValidation type="list" sqref="C7:C50">
      <x:formula1>"P0,P1,P2,后续,不采用"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1f2cb7c4195453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6" hidden="0" customWidth="1"/>
    <x:col min="3" max="3" width="18" hidden="0" customWidth="1"/>
    <x:col min="4" max="4" width="18" hidden="0" customWidth="1"/>
    <x:col min="5" max="5" width="32" hidden="0" customWidth="1"/>
    <x:col min="6" max="6" width="18" hidden="0" customWidth="1"/>
    <x:col min="7" max="7" width="18" hidden="0" customWidth="1"/>
    <x:col min="8" max="8" width="22" hidden="0" customWidth="1"/>
    <x:col min="9" max="9" width="44" hidden="0" customWidth="1"/>
    <x:col min="10" max="10" width="40" hidden="0" customWidth="1"/>
  </x:cols>
  <x:sheetData>
    <x:row r="1" ht="24" customHeight="1">
      <x:c r="A1" s="8" t="str">
        <x:v>确认、实现、启用｜三种状态分别记录</x:v>
      </x:c>
      <x:c r="B1" s="8"/>
      <x:c r="C1" s="8"/>
      <x:c r="D1" s="8"/>
      <x:c r="E1" s="8"/>
      <x:c r="F1" s="8"/>
      <x:c r="G1" s="8"/>
      <x:c r="H1" s="8"/>
      <x:c r="I1" s="8"/>
      <x:c r="J1" s="8"/>
    </x:row>
    <x:row r="2" ht="24" customHeight="1">
      <x:c r="A2" s="8"/>
      <x:c r="B2" s="8"/>
      <x:c r="C2" s="8"/>
      <x:c r="D2" s="8"/>
      <x:c r="E2" s="8"/>
      <x:c r="F2" s="8"/>
      <x:c r="G2" s="8"/>
      <x:c r="H2" s="8"/>
      <x:c r="I2" s="8"/>
      <x:c r="J2" s="8"/>
    </x:row>
    <x:row r="3" ht="22" customHeight="1">
      <x:c r="A3" s="15" t="str">
        <x:v>蓝字列供评审填写。没有确认人、依据和时间，不得将AI推荐视为公司批准。尚未审计代码、未进行供应商生产核验。</x:v>
      </x:c>
      <x:c r="B3" s="15"/>
      <x:c r="C3" s="15"/>
      <x:c r="D3" s="15"/>
      <x:c r="E3" s="15"/>
      <x:c r="F3" s="15"/>
      <x:c r="G3" s="15"/>
      <x:c r="H3" s="15"/>
      <x:c r="I3" s="15"/>
      <x:c r="J3" s="15"/>
    </x:row>
    <x:row r="4" ht="22" customHeight="1">
      <x:c r="A4" s="15"/>
      <x:c r="B4" s="15"/>
      <x:c r="C4" s="15"/>
      <x:c r="D4" s="15"/>
      <x:c r="E4" s="15"/>
      <x:c r="F4" s="15"/>
      <x:c r="G4" s="15"/>
      <x:c r="H4" s="15"/>
      <x:c r="I4" s="15"/>
      <x:c r="J4" s="15"/>
    </x:row>
    <x:row r="5">
      <x:c r="A5" s="4"/>
      <x:c r="B5" s="4"/>
      <x:c r="C5" s="4"/>
      <x:c r="D5" s="4"/>
      <x:c r="E5" s="4"/>
      <x:c r="F5" s="4"/>
      <x:c r="G5" s="4"/>
      <x:c r="H5" s="4"/>
      <x:c r="I5" s="4"/>
      <x:c r="J5" s="4"/>
    </x:row>
    <x:row r="6" ht="34" customHeight="1">
      <x:c r="A6" s="24" t="str">
        <x:v>永久编号</x:v>
      </x:c>
      <x:c r="B6" s="24" t="str">
        <x:v>事项</x:v>
      </x:c>
      <x:c r="C6" s="24" t="str">
        <x:v>当前决策状态</x:v>
      </x:c>
      <x:c r="D6" s="24" t="str">
        <x:v>正式确认状态</x:v>
      </x:c>
      <x:c r="E6" s="24" t="str">
        <x:v>确认人/依据</x:v>
      </x:c>
      <x:c r="F6" s="24" t="str">
        <x:v>确认日期</x:v>
      </x:c>
      <x:c r="G6" s="24" t="str">
        <x:v>实际实现状态</x:v>
      </x:c>
      <x:c r="H6" s="24" t="str">
        <x:v>正式启用状态</x:v>
      </x:c>
      <x:c r="I6" s="24" t="str">
        <x:v>复核触发条件</x:v>
      </x:c>
      <x:c r="J6" s="24" t="str">
        <x:v>补充意见</x:v>
      </x:c>
    </x:row>
    <x:row r="7" ht="82" customHeight="1">
      <x:c r="A7" s="20" t="str">
        <x:v>REQ-001</x:v>
      </x:c>
      <x:c r="B7" s="20" t="str">
        <x:v>定制六步的关键数值：首款比例、样片时长、免费修改轮次、向导规则</x:v>
      </x:c>
      <x:c r="C7" s="28" t="str">
        <x:v>暂定采用</x:v>
      </x:c>
      <x:c r="D7" s="28" t="str">
        <x:v>未取得</x:v>
      </x:c>
      <x:c r="E7" s="28"/>
      <x:c r="F7" s="28"/>
      <x:c r="G7" s="28" t="str">
        <x:v>未审计</x:v>
      </x:c>
      <x:c r="H7" s="28" t="str">
        <x:v>未核验</x:v>
      </x:c>
      <x:c r="I7" s="28" t="str">
        <x:v>外部条件变化；试制结束；首20单；涉及权利/资金/交付变化时立即复核</x:v>
      </x:c>
      <x:c r="J7" s="28"/>
    </x:row>
    <x:row r="8" ht="82" customHeight="1">
      <x:c r="A8" s="20" t="str">
        <x:v>REQ-002</x:v>
      </x:c>
      <x:c r="B8" s="20" t="str">
        <x:v>分阶段退款规则（首款后、制作中、样片后、尾款后、交付后分别怎么退）</x:v>
      </x:c>
      <x:c r="C8" s="28" t="str">
        <x:v>暂定采用</x:v>
      </x:c>
      <x:c r="D8" s="28" t="str">
        <x:v>未取得</x:v>
      </x:c>
      <x:c r="E8" s="28"/>
      <x:c r="F8" s="28"/>
      <x:c r="G8" s="28" t="str">
        <x:v>未审计</x:v>
      </x:c>
      <x:c r="H8" s="28" t="str">
        <x:v>未核验</x:v>
      </x:c>
      <x:c r="I8" s="28" t="str">
        <x:v>外部条件变化；试制结束；首20单；涉及权利/资金/交付变化时立即复核</x:v>
      </x:c>
      <x:c r="J8" s="28"/>
    </x:row>
    <x:row r="9" ht="82" customHeight="1">
      <x:c r="A9" s="20" t="str">
        <x:v>REQ-003</x:v>
      </x:c>
      <x:c r="B9" s="20" t="str">
        <x:v>P0 制作供给模式，以及“制作侧在哪交付”（新稿状态机有制作方却无操作面）</x:v>
      </x:c>
      <x:c r="C9" s="28" t="str">
        <x:v>暂定采用</x:v>
      </x:c>
      <x:c r="D9" s="28" t="str">
        <x:v>未取得</x:v>
      </x:c>
      <x:c r="E9" s="28"/>
      <x:c r="F9" s="28"/>
      <x:c r="G9" s="28" t="str">
        <x:v>未审计</x:v>
      </x:c>
      <x:c r="H9" s="28" t="str">
        <x:v>未核验</x:v>
      </x:c>
      <x:c r="I9" s="28" t="str">
        <x:v>外部条件变化；试制结束；首20单；涉及权利/资金/交付变化时立即复核</x:v>
      </x:c>
      <x:c r="J9" s="28"/>
    </x:row>
    <x:row r="10" ht="82" customHeight="1">
      <x:c r="A10" s="20" t="str">
        <x:v>REQ-004</x:v>
      </x:c>
      <x:c r="B10" s="20" t="str">
        <x:v>一笔定制费如何分账（新稿账本只有平台/主理人/MCN，缺制作方与陪演）</x:v>
      </x:c>
      <x:c r="C10" s="28" t="str">
        <x:v>暂定采用</x:v>
      </x:c>
      <x:c r="D10" s="28" t="str">
        <x:v>未取得</x:v>
      </x:c>
      <x:c r="E10" s="28"/>
      <x:c r="F10" s="28"/>
      <x:c r="G10" s="28" t="str">
        <x:v>未审计</x:v>
      </x:c>
      <x:c r="H10" s="28" t="str">
        <x:v>未核验</x:v>
      </x:c>
      <x:c r="I10" s="28" t="str">
        <x:v>外部条件变化；试制结束；首20单；涉及权利/资金/交付变化时立即复核</x:v>
      </x:c>
      <x:c r="J10" s="28"/>
    </x:row>
    <x:row r="11" ht="82" customHeight="1">
      <x:c r="A11" s="20" t="str">
        <x:v>REQ-005</x:v>
      </x:c>
      <x:c r="B11" s="20" t="str">
        <x:v>资金合规路径，防范“二清”（无证清分资金）</x:v>
      </x:c>
      <x:c r="C11" s="28" t="str">
        <x:v>暂定采用</x:v>
      </x:c>
      <x:c r="D11" s="28" t="str">
        <x:v>未取得</x:v>
      </x:c>
      <x:c r="E11" s="28"/>
      <x:c r="F11" s="28"/>
      <x:c r="G11" s="28" t="str">
        <x:v>未审计</x:v>
      </x:c>
      <x:c r="H11" s="28" t="str">
        <x:v>未核验</x:v>
      </x:c>
      <x:c r="I11" s="28" t="str">
        <x:v>外部条件变化；试制结束；首20单；涉及权利/资金/交付变化时立即复核</x:v>
      </x:c>
      <x:c r="J11" s="28"/>
    </x:row>
    <x:row r="12" ht="82" customHeight="1">
      <x:c r="A12" s="20" t="str">
        <x:v>REQ-006</x:v>
      </x:c>
      <x:c r="B12" s="20" t="str">
        <x:v>人脸/声音确权的触发节奏（避免 P0 一注册就被重确权压垮转化）</x:v>
      </x:c>
      <x:c r="C12" s="28" t="str">
        <x:v>暂定采用</x:v>
      </x:c>
      <x:c r="D12" s="28" t="str">
        <x:v>未取得</x:v>
      </x:c>
      <x:c r="E12" s="28"/>
      <x:c r="F12" s="28"/>
      <x:c r="G12" s="28" t="str">
        <x:v>未审计</x:v>
      </x:c>
      <x:c r="H12" s="28" t="str">
        <x:v>未核验</x:v>
      </x:c>
      <x:c r="I12" s="28" t="str">
        <x:v>外部条件变化；试制结束；首20单；涉及权利/资金/交付变化时立即复核</x:v>
      </x:c>
      <x:c r="J12" s="28"/>
    </x:row>
    <x:row r="13" ht="82" customHeight="1">
      <x:c r="A13" s="20" t="str">
        <x:v>REQ-007</x:v>
      </x:c>
      <x:c r="B13" s="20" t="str">
        <x:v>三类数字人分别能做哪些动作（类型×动作开放矩阵）</x:v>
      </x:c>
      <x:c r="C13" s="28" t="str">
        <x:v>暂定采用</x:v>
      </x:c>
      <x:c r="D13" s="28" t="str">
        <x:v>未取得</x:v>
      </x:c>
      <x:c r="E13" s="28"/>
      <x:c r="F13" s="28"/>
      <x:c r="G13" s="28" t="str">
        <x:v>未审计</x:v>
      </x:c>
      <x:c r="H13" s="28" t="str">
        <x:v>未核验</x:v>
      </x:c>
      <x:c r="I13" s="28" t="str">
        <x:v>外部条件变化；试制结束；首20单；涉及权利/资金/交付变化时立即复核</x:v>
      </x:c>
      <x:c r="J13" s="28"/>
    </x:row>
    <x:row r="14" ht="82" customHeight="1">
      <x:c r="A14" s="20" t="str">
        <x:v>REQ-008</x:v>
      </x:c>
      <x:c r="B14" s="20" t="str">
        <x:v>iOS 内购(IAP)与第三方支付的分界（新稿通篇支付却遗漏，必须捡回）</x:v>
      </x:c>
      <x:c r="C14" s="28" t="str">
        <x:v>暂定采用</x:v>
      </x:c>
      <x:c r="D14" s="28" t="str">
        <x:v>未取得</x:v>
      </x:c>
      <x:c r="E14" s="28"/>
      <x:c r="F14" s="28"/>
      <x:c r="G14" s="28" t="str">
        <x:v>未审计</x:v>
      </x:c>
      <x:c r="H14" s="28" t="str">
        <x:v>未核验</x:v>
      </x:c>
      <x:c r="I14" s="28" t="str">
        <x:v>外部条件变化；试制结束；首20单；涉及权利/资金/交付变化时立即复核</x:v>
      </x:c>
      <x:c r="J14" s="28"/>
    </x:row>
    <x:row r="15" ht="82" customHeight="1">
      <x:c r="A15" s="20" t="str">
        <x:v>REQ-009</x:v>
      </x:c>
      <x:c r="B15" s="20" t="str">
        <x:v>底部导航结构与“对内自娱/对外发行”两线隔离</x:v>
      </x:c>
      <x:c r="C15" s="28" t="str">
        <x:v>暂定采用</x:v>
      </x:c>
      <x:c r="D15" s="28" t="str">
        <x:v>未取得</x:v>
      </x:c>
      <x:c r="E15" s="28"/>
      <x:c r="F15" s="28"/>
      <x:c r="G15" s="28" t="str">
        <x:v>未审计</x:v>
      </x:c>
      <x:c r="H15" s="28" t="str">
        <x:v>未核验</x:v>
      </x:c>
      <x:c r="I15" s="28" t="str">
        <x:v>外部条件变化；试制结束；首20单；涉及权利/资金/交付变化时立即复核</x:v>
      </x:c>
      <x:c r="J15" s="28"/>
    </x:row>
    <x:row r="16" ht="82" customHeight="1">
      <x:c r="A16" s="20" t="str">
        <x:v>REQ-010</x:v>
      </x:c>
      <x:c r="B16" s="20" t="str">
        <x:v>单独同意 + 电子授权书 + 授权状态机如何落地</x:v>
      </x:c>
      <x:c r="C16" s="28" t="str">
        <x:v>暂定采用</x:v>
      </x:c>
      <x:c r="D16" s="28" t="str">
        <x:v>未取得</x:v>
      </x:c>
      <x:c r="E16" s="28"/>
      <x:c r="F16" s="28"/>
      <x:c r="G16" s="28" t="str">
        <x:v>未审计</x:v>
      </x:c>
      <x:c r="H16" s="28" t="str">
        <x:v>未核验</x:v>
      </x:c>
      <x:c r="I16" s="28" t="str">
        <x:v>外部条件变化；试制结束；首20单；涉及权利/资金/交付变化时立即复核</x:v>
      </x:c>
      <x:c r="J16" s="28"/>
    </x:row>
    <x:row r="17" ht="82" customHeight="1">
      <x:c r="A17" s="20" t="str">
        <x:v>REQ-011</x:v>
      </x:c>
      <x:c r="B17" s="20" t="str">
        <x:v>AI 生成内容的显式+隐式标识</x:v>
      </x:c>
      <x:c r="C17" s="28" t="str">
        <x:v>暂定采用</x:v>
      </x:c>
      <x:c r="D17" s="28" t="str">
        <x:v>未取得</x:v>
      </x:c>
      <x:c r="E17" s="28"/>
      <x:c r="F17" s="28"/>
      <x:c r="G17" s="28" t="str">
        <x:v>未审计</x:v>
      </x:c>
      <x:c r="H17" s="28" t="str">
        <x:v>未核验</x:v>
      </x:c>
      <x:c r="I17" s="28" t="str">
        <x:v>外部条件变化；试制结束；首20单；涉及权利/资金/交付变化时立即复核</x:v>
      </x:c>
      <x:c r="J17" s="28"/>
    </x:row>
    <x:row r="18" ht="82" customHeight="1">
      <x:c r="A18" s="20" t="str">
        <x:v>REQ-012</x:v>
      </x:c>
      <x:c r="B18" s="20" t="str">
        <x:v>授权到期提醒、撤回与删除的处理口径</x:v>
      </x:c>
      <x:c r="C18" s="28" t="str">
        <x:v>暂定采用</x:v>
      </x:c>
      <x:c r="D18" s="28" t="str">
        <x:v>未取得</x:v>
      </x:c>
      <x:c r="E18" s="28"/>
      <x:c r="F18" s="28"/>
      <x:c r="G18" s="28" t="str">
        <x:v>未审计</x:v>
      </x:c>
      <x:c r="H18" s="28" t="str">
        <x:v>未核验</x:v>
      </x:c>
      <x:c r="I18" s="28" t="str">
        <x:v>外部条件变化；试制结束；首20单；涉及权利/资金/交付变化时立即复核</x:v>
      </x:c>
      <x:c r="J18" s="28"/>
    </x:row>
    <x:row r="19" ht="82" customHeight="1">
      <x:c r="A19" s="20" t="str">
        <x:v>REQ-013</x:v>
      </x:c>
      <x:c r="B19" s="20" t="str">
        <x:v>应用侧算法备案/生成式AI服务登记 + 安全评估</x:v>
      </x:c>
      <x:c r="C19" s="28" t="str">
        <x:v>暂定采用</x:v>
      </x:c>
      <x:c r="D19" s="28" t="str">
        <x:v>未取得</x:v>
      </x:c>
      <x:c r="E19" s="28"/>
      <x:c r="F19" s="28"/>
      <x:c r="G19" s="28" t="str">
        <x:v>未审计</x:v>
      </x:c>
      <x:c r="H19" s="28" t="str">
        <x:v>未核验</x:v>
      </x:c>
      <x:c r="I19" s="28" t="str">
        <x:v>外部条件变化；试制结束；首20单；涉及权利/资金/交付变化时立即复核</x:v>
      </x:c>
      <x:c r="J19" s="28"/>
    </x:row>
    <x:row r="20" ht="82" customHeight="1">
      <x:c r="A20" s="20" t="str">
        <x:v>REQ-014</x:v>
      </x:c>
      <x:c r="B20" s="20" t="str">
        <x:v>确权服务商选型与成本由谁承担</x:v>
      </x:c>
      <x:c r="C20" s="28" t="str">
        <x:v>暂定采用</x:v>
      </x:c>
      <x:c r="D20" s="28" t="str">
        <x:v>未取得</x:v>
      </x:c>
      <x:c r="E20" s="28"/>
      <x:c r="F20" s="28"/>
      <x:c r="G20" s="28" t="str">
        <x:v>未审计</x:v>
      </x:c>
      <x:c r="H20" s="28" t="str">
        <x:v>未核验</x:v>
      </x:c>
      <x:c r="I20" s="28" t="str">
        <x:v>外部条件变化；试制结束；首20单；涉及权利/资金/交付变化时立即复核</x:v>
      </x:c>
      <x:c r="J20" s="28"/>
    </x:row>
    <x:row r="21" ht="82" customHeight="1">
      <x:c r="A21" s="20" t="str">
        <x:v>REQ-015</x:v>
      </x:c>
      <x:c r="B21" s="20" t="str">
        <x:v>公司资质与证照办理时序</x:v>
      </x:c>
      <x:c r="C21" s="28" t="str">
        <x:v>暂定采用</x:v>
      </x:c>
      <x:c r="D21" s="28" t="str">
        <x:v>未取得</x:v>
      </x:c>
      <x:c r="E21" s="28"/>
      <x:c r="F21" s="28"/>
      <x:c r="G21" s="28" t="str">
        <x:v>未审计</x:v>
      </x:c>
      <x:c r="H21" s="28" t="str">
        <x:v>未核验</x:v>
      </x:c>
      <x:c r="I21" s="28" t="str">
        <x:v>外部条件变化；试制结束；首20单；涉及权利/资金/交付变化时立即复核</x:v>
      </x:c>
      <x:c r="J21" s="28"/>
    </x:row>
    <x:row r="22" ht="82" customHeight="1">
      <x:c r="A22" s="20" t="str">
        <x:v>REQ-016</x:v>
      </x:c>
      <x:c r="B22" s="20" t="str">
        <x:v>MCN 分销层级与计酬红线</x:v>
      </x:c>
      <x:c r="C22" s="28" t="str">
        <x:v>后期范围</x:v>
      </x:c>
      <x:c r="D22" s="28" t="str">
        <x:v>未取得</x:v>
      </x:c>
      <x:c r="E22" s="28"/>
      <x:c r="F22" s="28"/>
      <x:c r="G22" s="28" t="str">
        <x:v>未审计</x:v>
      </x:c>
      <x:c r="H22" s="28" t="str">
        <x:v>未核验</x:v>
      </x:c>
      <x:c r="I22" s="28" t="str">
        <x:v>外部条件变化；试制结束；首20单；涉及权利/资金/交付变化时立即复核</x:v>
      </x:c>
      <x:c r="J22" s="28"/>
    </x:row>
    <x:row r="23" ht="82" customHeight="1">
      <x:c r="A23" s="20" t="str">
        <x:v>REQ-017</x:v>
      </x:c>
      <x:c r="B23" s="20" t="str">
        <x:v>商单/广告合规与禁入品类</x:v>
      </x:c>
      <x:c r="C23" s="28" t="str">
        <x:v>后期范围</x:v>
      </x:c>
      <x:c r="D23" s="28" t="str">
        <x:v>未取得</x:v>
      </x:c>
      <x:c r="E23" s="28"/>
      <x:c r="F23" s="28"/>
      <x:c r="G23" s="28" t="str">
        <x:v>未审计</x:v>
      </x:c>
      <x:c r="H23" s="28" t="str">
        <x:v>未核验</x:v>
      </x:c>
      <x:c r="I23" s="28" t="str">
        <x:v>外部条件变化；试制结束；首20单；涉及权利/资金/交付变化时立即复核</x:v>
      </x:c>
      <x:c r="J23" s="28"/>
    </x:row>
    <x:row r="24" ht="82" customHeight="1">
      <x:c r="A24" s="20" t="str">
        <x:v>REQ-018</x:v>
      </x:c>
      <x:c r="B24" s="20" t="str">
        <x:v>平台抽佣比例与 MCN 分成方式</x:v>
      </x:c>
      <x:c r="C24" s="28" t="str">
        <x:v>后期范围</x:v>
      </x:c>
      <x:c r="D24" s="28" t="str">
        <x:v>未取得</x:v>
      </x:c>
      <x:c r="E24" s="28"/>
      <x:c r="F24" s="28"/>
      <x:c r="G24" s="28" t="str">
        <x:v>未审计</x:v>
      </x:c>
      <x:c r="H24" s="28" t="str">
        <x:v>未核验</x:v>
      </x:c>
      <x:c r="I24" s="28" t="str">
        <x:v>外部条件变化；试制结束；首20单；涉及权利/资金/交付变化时立即复核</x:v>
      </x:c>
      <x:c r="J24" s="28"/>
    </x:row>
    <x:row r="25" ht="82" customHeight="1">
      <x:c r="A25" s="20" t="str">
        <x:v>REQ-019</x:v>
      </x:c>
      <x:c r="B25" s="20" t="str">
        <x:v>结算周期、提现规则与个人个税代扣</x:v>
      </x:c>
      <x:c r="C25" s="28" t="str">
        <x:v>后期范围</x:v>
      </x:c>
      <x:c r="D25" s="28" t="str">
        <x:v>未取得</x:v>
      </x:c>
      <x:c r="E25" s="28"/>
      <x:c r="F25" s="28"/>
      <x:c r="G25" s="28" t="str">
        <x:v>未审计</x:v>
      </x:c>
      <x:c r="H25" s="28" t="str">
        <x:v>未核验</x:v>
      </x:c>
      <x:c r="I25" s="28" t="str">
        <x:v>外部条件变化；试制结束；首20单；涉及权利/资金/交付变化时立即复核</x:v>
      </x:c>
      <x:c r="J25" s="28"/>
    </x:row>
    <x:row r="26" ht="82" customHeight="1">
      <x:c r="A26" s="20" t="str">
        <x:v>REQ-020</x:v>
      </x:c>
      <x:c r="B26" s="20" t="str">
        <x:v>热度/新兴/地区三大榜单算法与防刷</x:v>
      </x:c>
      <x:c r="C26" s="28" t="str">
        <x:v>后期范围</x:v>
      </x:c>
      <x:c r="D26" s="28" t="str">
        <x:v>未取得</x:v>
      </x:c>
      <x:c r="E26" s="28"/>
      <x:c r="F26" s="28"/>
      <x:c r="G26" s="28" t="str">
        <x:v>未审计</x:v>
      </x:c>
      <x:c r="H26" s="28" t="str">
        <x:v>未核验</x:v>
      </x:c>
      <x:c r="I26" s="28" t="str">
        <x:v>外部条件变化；试制结束；首20单；涉及权利/资金/交付变化时立即复核</x:v>
      </x:c>
      <x:c r="J26" s="28"/>
    </x:row>
    <x:row r="27" ht="82" customHeight="1">
      <x:c r="A27" s="20" t="str">
        <x:v>REQ-021</x:v>
      </x:c>
      <x:c r="B27" s="20" t="str">
        <x:v>标准档与高端档的服务差异边界</x:v>
      </x:c>
      <x:c r="C27" s="28" t="str">
        <x:v>后期范围</x:v>
      </x:c>
      <x:c r="D27" s="28" t="str">
        <x:v>未取得</x:v>
      </x:c>
      <x:c r="E27" s="28"/>
      <x:c r="F27" s="28"/>
      <x:c r="G27" s="28" t="str">
        <x:v>未审计</x:v>
      </x:c>
      <x:c r="H27" s="28" t="str">
        <x:v>未核验</x:v>
      </x:c>
      <x:c r="I27" s="28" t="str">
        <x:v>外部条件变化；试制结束；首20单；涉及权利/资金/交付变化时立即复核</x:v>
      </x:c>
      <x:c r="J27" s="28"/>
    </x:row>
    <x:row r="28" ht="82" customHeight="1">
      <x:c r="A28" s="20" t="str">
        <x:v>REQ-022</x:v>
      </x:c>
      <x:c r="B28" s="20" t="str">
        <x:v>剧本框架(SCRIPT)来源与版权归属</x:v>
      </x:c>
      <x:c r="C28" s="28" t="str">
        <x:v>暂定采用</x:v>
      </x:c>
      <x:c r="D28" s="28" t="str">
        <x:v>未取得</x:v>
      </x:c>
      <x:c r="E28" s="28"/>
      <x:c r="F28" s="28"/>
      <x:c r="G28" s="28" t="str">
        <x:v>未审计</x:v>
      </x:c>
      <x:c r="H28" s="28" t="str">
        <x:v>未核验</x:v>
      </x:c>
      <x:c r="I28" s="28" t="str">
        <x:v>外部条件变化；试制结束；首20单；涉及权利/资金/交付变化时立即复核</x:v>
      </x:c>
      <x:c r="J28" s="28"/>
    </x:row>
    <x:row r="29" ht="82" customHeight="1">
      <x:c r="A29" s="20" t="str">
        <x:v>REQ-023</x:v>
      </x:c>
      <x:c r="B29" s="20" t="str">
        <x:v>机构入驻、数字人独家管理与身份切换</x:v>
      </x:c>
      <x:c r="C29" s="28" t="str">
        <x:v>后期范围</x:v>
      </x:c>
      <x:c r="D29" s="28" t="str">
        <x:v>未取得</x:v>
      </x:c>
      <x:c r="E29" s="28"/>
      <x:c r="F29" s="28"/>
      <x:c r="G29" s="28" t="str">
        <x:v>未审计</x:v>
      </x:c>
      <x:c r="H29" s="28" t="str">
        <x:v>未核验</x:v>
      </x:c>
      <x:c r="I29" s="28" t="str">
        <x:v>外部条件变化；试制结束；首20单；涉及权利/资金/交付变化时立即复核</x:v>
      </x:c>
      <x:c r="J29" s="28"/>
    </x:row>
    <x:row r="30" ht="82" customHeight="1">
      <x:c r="A30" s="20" t="str">
        <x:v>REQ-024</x:v>
      </x:c>
      <x:c r="B30" s="20" t="str">
        <x:v>入戏 / 商单 / 成角三类业务的边界与归类</x:v>
      </x:c>
      <x:c r="C30" s="28" t="str">
        <x:v>后期范围</x:v>
      </x:c>
      <x:c r="D30" s="28" t="str">
        <x:v>未取得</x:v>
      </x:c>
      <x:c r="E30" s="28"/>
      <x:c r="F30" s="28"/>
      <x:c r="G30" s="28" t="str">
        <x:v>未审计</x:v>
      </x:c>
      <x:c r="H30" s="28" t="str">
        <x:v>未核验</x:v>
      </x:c>
      <x:c r="I30" s="28" t="str">
        <x:v>外部条件变化；试制结束；首20单；涉及权利/资金/交付变化时立即复核</x:v>
      </x:c>
      <x:c r="J30" s="28"/>
    </x:row>
    <x:row r="31" ht="82" customHeight="1">
      <x:c r="A31" s="20" t="str">
        <x:v>REQ-025</x:v>
      </x:c>
      <x:c r="B31" s="20" t="str">
        <x:v>成角（对外发行）线是否进入 P0</x:v>
      </x:c>
      <x:c r="C31" s="28" t="str">
        <x:v>后期范围</x:v>
      </x:c>
      <x:c r="D31" s="28" t="str">
        <x:v>未取得</x:v>
      </x:c>
      <x:c r="E31" s="28"/>
      <x:c r="F31" s="28"/>
      <x:c r="G31" s="28" t="str">
        <x:v>未审计</x:v>
      </x:c>
      <x:c r="H31" s="28" t="str">
        <x:v>未核验</x:v>
      </x:c>
      <x:c r="I31" s="28" t="str">
        <x:v>外部条件变化；试制结束；首20单；涉及权利/资金/交付变化时立即复核</x:v>
      </x:c>
      <x:c r="J31" s="28"/>
    </x:row>
    <x:row r="32" ht="82" customHeight="1">
      <x:c r="A32" s="20" t="str">
        <x:v>REQ-026</x:v>
      </x:c>
      <x:c r="B32" s="20" t="str">
        <x:v>出品立项条件与流拍（凑不齐角色）处理</x:v>
      </x:c>
      <x:c r="C32" s="28" t="str">
        <x:v>后期范围</x:v>
      </x:c>
      <x:c r="D32" s="28" t="str">
        <x:v>未取得</x:v>
      </x:c>
      <x:c r="E32" s="28"/>
      <x:c r="F32" s="28"/>
      <x:c r="G32" s="28" t="str">
        <x:v>未审计</x:v>
      </x:c>
      <x:c r="H32" s="28" t="str">
        <x:v>未核验</x:v>
      </x:c>
      <x:c r="I32" s="28" t="str">
        <x:v>外部条件变化；试制结束；首20单；涉及权利/资金/交付变化时立即复核</x:v>
      </x:c>
      <x:c r="J32" s="28"/>
    </x:row>
    <x:row r="33" ht="82" customHeight="1">
      <x:c r="A33" s="20" t="str">
        <x:v>REQ-027</x:v>
      </x:c>
      <x:c r="B33" s="20" t="str">
        <x:v>角色竞拍规则：保证金/出价步长/防狙击/角色权益</x:v>
      </x:c>
      <x:c r="C33" s="28" t="str">
        <x:v>后期范围</x:v>
      </x:c>
      <x:c r="D33" s="28" t="str">
        <x:v>未取得</x:v>
      </x:c>
      <x:c r="E33" s="28"/>
      <x:c r="F33" s="28"/>
      <x:c r="G33" s="28" t="str">
        <x:v>未审计</x:v>
      </x:c>
      <x:c r="H33" s="28" t="str">
        <x:v>未核验</x:v>
      </x:c>
      <x:c r="I33" s="28" t="str">
        <x:v>外部条件变化；试制结束；首20单；涉及权利/资金/交付变化时立即复核</x:v>
      </x:c>
      <x:c r="J33" s="28"/>
    </x:row>
    <x:row r="34" ht="82" customHeight="1">
      <x:c r="A34" s="20" t="str">
        <x:v>REQ-028</x:v>
      </x:c>
      <x:c r="B34" s="20" t="str">
        <x:v>自娱内容转对外发行的“转线闸门”</x:v>
      </x:c>
      <x:c r="C34" s="28" t="str">
        <x:v>后期范围</x:v>
      </x:c>
      <x:c r="D34" s="28" t="str">
        <x:v>未取得</x:v>
      </x:c>
      <x:c r="E34" s="28"/>
      <x:c r="F34" s="28"/>
      <x:c r="G34" s="28" t="str">
        <x:v>未审计</x:v>
      </x:c>
      <x:c r="H34" s="28" t="str">
        <x:v>未核验</x:v>
      </x:c>
      <x:c r="I34" s="28" t="str">
        <x:v>外部条件变化；试制结束；首20单；涉及权利/资金/交付变化时立即复核</x:v>
      </x:c>
      <x:c r="J34" s="28"/>
    </x:row>
    <x:row r="35" ht="82" customHeight="1">
      <x:c r="A35" s="20" t="str">
        <x:v>REQ-029</x:v>
      </x:c>
      <x:c r="B35" s="20" t="str">
        <x:v>发行前多方确认顺序</x:v>
      </x:c>
      <x:c r="C35" s="28" t="str">
        <x:v>后期范围</x:v>
      </x:c>
      <x:c r="D35" s="28" t="str">
        <x:v>未取得</x:v>
      </x:c>
      <x:c r="E35" s="28"/>
      <x:c r="F35" s="28"/>
      <x:c r="G35" s="28" t="str">
        <x:v>未审计</x:v>
      </x:c>
      <x:c r="H35" s="28" t="str">
        <x:v>未核验</x:v>
      </x:c>
      <x:c r="I35" s="28" t="str">
        <x:v>外部条件变化；试制结束；首20单；涉及权利/资金/交付变化时立即复核</x:v>
      </x:c>
      <x:c r="J35" s="28"/>
    </x:row>
    <x:row r="36" ht="82" customHeight="1">
      <x:c r="A36" s="20" t="str">
        <x:v>REQ-030</x:v>
      </x:c>
      <x:c r="B36" s="20" t="str">
        <x:v>发行收入可分配口径与结算周期（旧Q8遗留）</x:v>
      </x:c>
      <x:c r="C36" s="28" t="str">
        <x:v>后期范围</x:v>
      </x:c>
      <x:c r="D36" s="28" t="str">
        <x:v>未取得</x:v>
      </x:c>
      <x:c r="E36" s="28"/>
      <x:c r="F36" s="28"/>
      <x:c r="G36" s="28" t="str">
        <x:v>未审计</x:v>
      </x:c>
      <x:c r="H36" s="28" t="str">
        <x:v>未核验</x:v>
      </x:c>
      <x:c r="I36" s="28" t="str">
        <x:v>外部条件变化；试制结束；首20单；涉及权利/资金/交付变化时立即复核</x:v>
      </x:c>
      <x:c r="J36" s="28"/>
    </x:row>
    <x:row r="37" ht="82" customHeight="1">
      <x:c r="A37" s="20" t="str">
        <x:v>REQ-031</x:v>
      </x:c>
      <x:c r="B37" s="20" t="str">
        <x:v>企业/品牌委托方入口何时开放</x:v>
      </x:c>
      <x:c r="C37" s="28" t="str">
        <x:v>后期范围</x:v>
      </x:c>
      <x:c r="D37" s="28" t="str">
        <x:v>未取得</x:v>
      </x:c>
      <x:c r="E37" s="28"/>
      <x:c r="F37" s="28"/>
      <x:c r="G37" s="28" t="str">
        <x:v>未审计</x:v>
      </x:c>
      <x:c r="H37" s="28" t="str">
        <x:v>未核验</x:v>
      </x:c>
      <x:c r="I37" s="28" t="str">
        <x:v>外部条件变化；试制结束；首20单；涉及权利/资金/交付变化时立即复核</x:v>
      </x:c>
      <x:c r="J37" s="28"/>
    </x:row>
    <x:row r="38" ht="82" customHeight="1">
      <x:c r="A38" s="20" t="str">
        <x:v>REQ-032</x:v>
      </x:c>
      <x:c r="B38" s="20" t="str">
        <x:v>数字人身份标识强制国标与监管新规跟踪</x:v>
      </x:c>
      <x:c r="C38" s="28" t="str">
        <x:v>后期范围</x:v>
      </x:c>
      <x:c r="D38" s="28" t="str">
        <x:v>未取得</x:v>
      </x:c>
      <x:c r="E38" s="28"/>
      <x:c r="F38" s="28"/>
      <x:c r="G38" s="28" t="str">
        <x:v>未审计</x:v>
      </x:c>
      <x:c r="H38" s="28" t="str">
        <x:v>未核验</x:v>
      </x:c>
      <x:c r="I38" s="28" t="str">
        <x:v>外部条件变化；试制结束；首20单；涉及权利/资金/交付变化时立即复核</x:v>
      </x:c>
      <x:c r="J38" s="28"/>
    </x:row>
    <x:row r="39" ht="82" customHeight="1">
      <x:c r="A39" s="20" t="str">
        <x:v>REQ-033</x:v>
      </x:c>
      <x:c r="B39" s="20" t="str">
        <x:v>产品名与主体</x:v>
      </x:c>
      <x:c r="C39" s="28" t="str">
        <x:v>暂定采用</x:v>
      </x:c>
      <x:c r="D39" s="28" t="str">
        <x:v>未取得</x:v>
      </x:c>
      <x:c r="E39" s="28"/>
      <x:c r="F39" s="28"/>
      <x:c r="G39" s="28" t="str">
        <x:v>未审计</x:v>
      </x:c>
      <x:c r="H39" s="28" t="str">
        <x:v>未核验</x:v>
      </x:c>
      <x:c r="I39" s="28" t="str">
        <x:v>外部条件变化；试制结束；首20单；涉及权利/资金/交付变化时立即复核</x:v>
      </x:c>
      <x:c r="J39" s="28"/>
    </x:row>
    <x:row r="40" ht="82" customHeight="1">
      <x:c r="A40" s="20" t="str">
        <x:v>REQ-034</x:v>
      </x:c>
      <x:c r="B40" s="20" t="str">
        <x:v>交易身份与责任</x:v>
      </x:c>
      <x:c r="C40" s="28" t="str">
        <x:v>暂定采用</x:v>
      </x:c>
      <x:c r="D40" s="28" t="str">
        <x:v>未取得</x:v>
      </x:c>
      <x:c r="E40" s="28"/>
      <x:c r="F40" s="28"/>
      <x:c r="G40" s="28" t="str">
        <x:v>未审计</x:v>
      </x:c>
      <x:c r="H40" s="28" t="str">
        <x:v>未核验</x:v>
      </x:c>
      <x:c r="I40" s="28" t="str">
        <x:v>外部条件变化；试制结束；首20单；涉及权利/资金/交付变化时立即复核</x:v>
      </x:c>
      <x:c r="J40" s="28"/>
    </x:row>
    <x:row r="41" ht="82" customHeight="1">
      <x:c r="A41" s="20" t="str">
        <x:v>REQ-035</x:v>
      </x:c>
      <x:c r="B41" s="20" t="str">
        <x:v>私人作品的使用边界</x:v>
      </x:c>
      <x:c r="C41" s="28" t="str">
        <x:v>暂定采用</x:v>
      </x:c>
      <x:c r="D41" s="28" t="str">
        <x:v>未取得</x:v>
      </x:c>
      <x:c r="E41" s="28"/>
      <x:c r="F41" s="28"/>
      <x:c r="G41" s="28" t="str">
        <x:v>未审计</x:v>
      </x:c>
      <x:c r="H41" s="28" t="str">
        <x:v>未核验</x:v>
      </x:c>
      <x:c r="I41" s="28" t="str">
        <x:v>外部条件变化；试制结束；首20单；涉及权利/资金/交付变化时立即复核</x:v>
      </x:c>
      <x:c r="J41" s="28"/>
    </x:row>
    <x:row r="42" ht="82" customHeight="1">
      <x:c r="A42" s="20" t="str">
        <x:v>REQ-036</x:v>
      </x:c>
      <x:c r="B42" s="20" t="str">
        <x:v>成果权利分层</x:v>
      </x:c>
      <x:c r="C42" s="28" t="str">
        <x:v>暂定采用</x:v>
      </x:c>
      <x:c r="D42" s="28" t="str">
        <x:v>未取得</x:v>
      </x:c>
      <x:c r="E42" s="28"/>
      <x:c r="F42" s="28"/>
      <x:c r="G42" s="28" t="str">
        <x:v>未审计</x:v>
      </x:c>
      <x:c r="H42" s="28" t="str">
        <x:v>未核验</x:v>
      </x:c>
      <x:c r="I42" s="28" t="str">
        <x:v>外部条件变化；试制结束；首20单；涉及权利/资金/交付变化时立即复核</x:v>
      </x:c>
      <x:c r="J42" s="28"/>
    </x:row>
    <x:row r="43" ht="82" customHeight="1">
      <x:c r="A43" s="20" t="str">
        <x:v>REQ-037</x:v>
      </x:c>
      <x:c r="B43" s="20" t="str">
        <x:v>年龄与授权人</x:v>
      </x:c>
      <x:c r="C43" s="28" t="str">
        <x:v>暂定采用</x:v>
      </x:c>
      <x:c r="D43" s="28" t="str">
        <x:v>未取得</x:v>
      </x:c>
      <x:c r="E43" s="28"/>
      <x:c r="F43" s="28"/>
      <x:c r="G43" s="28" t="str">
        <x:v>未审计</x:v>
      </x:c>
      <x:c r="H43" s="28" t="str">
        <x:v>未核验</x:v>
      </x:c>
      <x:c r="I43" s="28" t="str">
        <x:v>外部条件变化；试制结束；首20单；涉及权利/资金/交付变化时立即复核</x:v>
      </x:c>
      <x:c r="J43" s="28"/>
    </x:row>
    <x:row r="44" ht="82" customHeight="1">
      <x:c r="A44" s="20" t="str">
        <x:v>REQ-038</x:v>
      </x:c>
      <x:c r="B44" s="20" t="str">
        <x:v>标准交付与验收</x:v>
      </x:c>
      <x:c r="C44" s="28" t="str">
        <x:v>暂定采用</x:v>
      </x:c>
      <x:c r="D44" s="28" t="str">
        <x:v>未取得</x:v>
      </x:c>
      <x:c r="E44" s="28"/>
      <x:c r="F44" s="28"/>
      <x:c r="G44" s="28" t="str">
        <x:v>未审计</x:v>
      </x:c>
      <x:c r="H44" s="28" t="str">
        <x:v>未核验</x:v>
      </x:c>
      <x:c r="I44" s="28" t="str">
        <x:v>外部条件变化；试制结束；首20单；涉及权利/资金/交付变化时立即复核</x:v>
      </x:c>
      <x:c r="J44" s="28"/>
    </x:row>
    <x:row r="45" ht="82" customHeight="1">
      <x:c r="A45" s="20" t="str">
        <x:v>REQ-039</x:v>
      </x:c>
      <x:c r="B45" s="20" t="str">
        <x:v>长期数字人验收</x:v>
      </x:c>
      <x:c r="C45" s="28" t="str">
        <x:v>暂定采用</x:v>
      </x:c>
      <x:c r="D45" s="28" t="str">
        <x:v>未取得</x:v>
      </x:c>
      <x:c r="E45" s="28"/>
      <x:c r="F45" s="28"/>
      <x:c r="G45" s="28" t="str">
        <x:v>未审计</x:v>
      </x:c>
      <x:c r="H45" s="28" t="str">
        <x:v>未核验</x:v>
      </x:c>
      <x:c r="I45" s="28" t="str">
        <x:v>外部条件变化；试制结束；首20单；涉及权利/资金/交付变化时立即复核</x:v>
      </x:c>
      <x:c r="J45" s="28"/>
    </x:row>
    <x:row r="46" ht="82" customHeight="1">
      <x:c r="A46" s="20" t="str">
        <x:v>REQ-040</x:v>
      </x:c>
      <x:c r="B46" s="20" t="str">
        <x:v>定价与制作产能</x:v>
      </x:c>
      <x:c r="C46" s="28" t="str">
        <x:v>暂定采用</x:v>
      </x:c>
      <x:c r="D46" s="28" t="str">
        <x:v>未取得</x:v>
      </x:c>
      <x:c r="E46" s="28"/>
      <x:c r="F46" s="28"/>
      <x:c r="G46" s="28" t="str">
        <x:v>未审计</x:v>
      </x:c>
      <x:c r="H46" s="28" t="str">
        <x:v>未核验</x:v>
      </x:c>
      <x:c r="I46" s="28" t="str">
        <x:v>外部条件变化；试制结束；首20单；涉及权利/资金/交付变化时立即复核</x:v>
      </x:c>
      <x:c r="J46" s="28"/>
    </x:row>
    <x:row r="47" ht="82" customHeight="1">
      <x:c r="A47" s="20" t="str">
        <x:v>REQ-041</x:v>
      </x:c>
      <x:c r="B47" s="20" t="str">
        <x:v>数据保留与删除</x:v>
      </x:c>
      <x:c r="C47" s="28" t="str">
        <x:v>暂定采用</x:v>
      </x:c>
      <x:c r="D47" s="28" t="str">
        <x:v>未取得</x:v>
      </x:c>
      <x:c r="E47" s="28"/>
      <x:c r="F47" s="28"/>
      <x:c r="G47" s="28" t="str">
        <x:v>未审计</x:v>
      </x:c>
      <x:c r="H47" s="28" t="str">
        <x:v>未核验</x:v>
      </x:c>
      <x:c r="I47" s="28" t="str">
        <x:v>外部条件变化；试制结束；首20单；涉及权利/资金/交付变化时立即复核</x:v>
      </x:c>
      <x:c r="J47" s="28"/>
    </x:row>
    <x:row r="48" ht="82" customHeight="1">
      <x:c r="A48" s="20" t="str">
        <x:v>REQ-042</x:v>
      </x:c>
      <x:c r="B48" s="20" t="str">
        <x:v>规则版本与历史订单</x:v>
      </x:c>
      <x:c r="C48" s="28" t="str">
        <x:v>暂定采用</x:v>
      </x:c>
      <x:c r="D48" s="28" t="str">
        <x:v>未取得</x:v>
      </x:c>
      <x:c r="E48" s="28"/>
      <x:c r="F48" s="28"/>
      <x:c r="G48" s="28" t="str">
        <x:v>未审计</x:v>
      </x:c>
      <x:c r="H48" s="28" t="str">
        <x:v>未核验</x:v>
      </x:c>
      <x:c r="I48" s="28" t="str">
        <x:v>外部条件变化；试制结束；首20单；涉及权利/资金/交付变化时立即复核</x:v>
      </x:c>
      <x:c r="J48" s="28"/>
    </x:row>
    <x:row r="49" ht="82" customHeight="1">
      <x:c r="A49" s="20" t="str">
        <x:v>REQ-043</x:v>
      </x:c>
      <x:c r="B49" s="20" t="str">
        <x:v>异常与暂停处理</x:v>
      </x:c>
      <x:c r="C49" s="28" t="str">
        <x:v>暂定采用</x:v>
      </x:c>
      <x:c r="D49" s="28" t="str">
        <x:v>未取得</x:v>
      </x:c>
      <x:c r="E49" s="28"/>
      <x:c r="F49" s="28"/>
      <x:c r="G49" s="28" t="str">
        <x:v>未审计</x:v>
      </x:c>
      <x:c r="H49" s="28" t="str">
        <x:v>未核验</x:v>
      </x:c>
      <x:c r="I49" s="28" t="str">
        <x:v>外部条件变化；试制结束；首20单；涉及权利/资金/交付变化时立即复核</x:v>
      </x:c>
      <x:c r="J49" s="28"/>
    </x:row>
    <x:row r="50" ht="82" customHeight="1">
      <x:c r="A50" s="20" t="str">
        <x:v>REQ-044</x:v>
      </x:c>
      <x:c r="B50" s="20" t="str">
        <x:v>需求变更与发布权限</x:v>
      </x:c>
      <x:c r="C50" s="28" t="str">
        <x:v>暂定采用</x:v>
      </x:c>
      <x:c r="D50" s="28" t="str">
        <x:v>未取得</x:v>
      </x:c>
      <x:c r="E50" s="28"/>
      <x:c r="F50" s="28"/>
      <x:c r="G50" s="28" t="str">
        <x:v>未审计</x:v>
      </x:c>
      <x:c r="H50" s="28" t="str">
        <x:v>未核验</x:v>
      </x:c>
      <x:c r="I50" s="28" t="str">
        <x:v>外部条件变化；试制结束；首20单；涉及权利/资金/交付变化时立即复核</x:v>
      </x:c>
      <x:c r="J50" s="28"/>
    </x:row>
  </x:sheetData>
  <x:mergeCells>
    <x:mergeCell ref="A1:J2"/>
    <x:mergeCell ref="A3:J4"/>
  </x:mergeCells>
  <x:conditionalFormatting sqref="H7:H50">
    <x:cfRule type="expression" dxfId="3" priority="1">
      <x:formula>$H7="未核验"</x:formula>
    </x:cfRule>
  </x:conditionalFormatting>
  <x:conditionalFormatting sqref="D7:D50">
    <x:cfRule type="expression" dxfId="4" priority="2">
      <x:formula>$D7="未取得"</x:formula>
    </x:cfRule>
  </x:conditionalFormatting>
  <x:dataValidations count="4">
    <x:dataValidation type="list" sqref="C7:C50">
      <x:formula1>"待研究,暂定采用,正式确认,后期范围,已取代,不采用"</x:formula1>
    </x:dataValidation>
    <x:dataValidation type="list" sqref="D7:D50">
      <x:formula1>"未取得,已确认,待补材料,已撤回"</x:formula1>
    </x:dataValidation>
    <x:dataValidation type="list" sqref="G7:G50">
      <x:formula1>"未审计,未开始,开发中,待验收,已验收,不适用"</x:formula1>
    </x:dataValidation>
    <x:dataValidation type="list" sqref="H7:H50">
      <x:formula1>"未核验,待外部条件,允许内测,允许正式启用,已停用,后期不启用"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071cbd21b6f454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6" hidden="0" customWidth="1"/>
    <x:col min="3" max="3" width="25" hidden="0" customWidth="1"/>
    <x:col min="4" max="4" width="14" hidden="0" customWidth="1"/>
    <x:col min="5" max="5" width="28" hidden="0" customWidth="1"/>
    <x:col min="6" max="6" width="40" hidden="0" customWidth="1"/>
    <x:col min="7" max="7" width="42" hidden="0" customWidth="1"/>
    <x:col min="8" max="8" width="34" hidden="0" customWidth="1"/>
    <x:col min="9" max="9" width="18" hidden="0" customWidth="1"/>
    <x:col min="10" max="10" width="38" hidden="0" customWidth="1"/>
  </x:cols>
  <x:sheetData>
    <x:row r="1" ht="24" customHeight="1">
      <x:c r="A1" s="8" t="str">
        <x:v>可调整参数｜试制值不是对外承诺</x:v>
      </x:c>
      <x:c r="B1" s="8"/>
      <x:c r="C1" s="8"/>
      <x:c r="D1" s="8"/>
      <x:c r="E1" s="8"/>
      <x:c r="F1" s="8"/>
      <x:c r="G1" s="8"/>
      <x:c r="H1" s="8"/>
      <x:c r="I1" s="8"/>
      <x:c r="J1" s="8"/>
    </x:row>
    <x:row r="2" ht="24" customHeight="1">
      <x:c r="A2" s="8"/>
      <x:c r="B2" s="8"/>
      <x:c r="C2" s="8"/>
      <x:c r="D2" s="8"/>
      <x:c r="E2" s="8"/>
      <x:c r="F2" s="8"/>
      <x:c r="G2" s="8"/>
      <x:c r="H2" s="8"/>
      <x:c r="I2" s="8"/>
      <x:c r="J2" s="8"/>
    </x:row>
    <x:row r="3" ht="22" customHeight="1">
      <x:c r="A3" s="15" t="str">
        <x:v>全部暂定值先用于设计或内部试制。正式价格、产品权限、合同和付款通道必须另行核验。参数变化只适用于指定版本及订单，不追溯削减旧约定。</x:v>
      </x:c>
      <x:c r="B3" s="15"/>
      <x:c r="C3" s="15"/>
      <x:c r="D3" s="15"/>
      <x:c r="E3" s="15"/>
      <x:c r="F3" s="15"/>
      <x:c r="G3" s="15"/>
      <x:c r="H3" s="15"/>
      <x:c r="I3" s="15"/>
      <x:c r="J3" s="15"/>
    </x:row>
    <x:row r="4" ht="22" customHeight="1">
      <x:c r="A4" s="15"/>
      <x:c r="B4" s="15"/>
      <x:c r="C4" s="15"/>
      <x:c r="D4" s="15"/>
      <x:c r="E4" s="15"/>
      <x:c r="F4" s="15"/>
      <x:c r="G4" s="15"/>
      <x:c r="H4" s="15"/>
      <x:c r="I4" s="15"/>
      <x:c r="J4" s="15"/>
    </x:row>
    <x:row r="5">
      <x:c r="A5" s="4"/>
      <x:c r="B5" s="4"/>
      <x:c r="C5" s="4"/>
      <x:c r="D5" s="4"/>
      <x:c r="E5" s="4"/>
      <x:c r="F5" s="4"/>
      <x:c r="G5" s="4"/>
      <x:c r="H5" s="4"/>
      <x:c r="I5" s="4"/>
      <x:c r="J5" s="4"/>
    </x:row>
    <x:row r="6" ht="34" customHeight="1">
      <x:c r="A6" s="24" t="str">
        <x:v>参数编号</x:v>
      </x:c>
      <x:c r="B6" s="24" t="str">
        <x:v>参数名称</x:v>
      </x:c>
      <x:c r="C6" s="24" t="str">
        <x:v>暂定值</x:v>
      </x:c>
      <x:c r="D6" s="24" t="str">
        <x:v>单位</x:v>
      </x:c>
      <x:c r="E6" s="24" t="str">
        <x:v>适用范围</x:v>
      </x:c>
      <x:c r="F6" s="24" t="str">
        <x:v>讨论/允许范围</x:v>
      </x:c>
      <x:c r="G6" s="24" t="str">
        <x:v>当前启用限制</x:v>
      </x:c>
      <x:c r="H6" s="24" t="str">
        <x:v>复核触发</x:v>
      </x:c>
      <x:c r="I6" s="24" t="str">
        <x:v>关联需求</x:v>
      </x:c>
      <x:c r="J6" s="24" t="str">
        <x:v>数值来源</x:v>
      </x:c>
    </x:row>
    <x:row r="7" ht="106" customHeight="1">
      <x:c r="A7" s="20" t="str">
        <x:v>PAR-001</x:v>
      </x:c>
      <x:c r="B7" s="20" t="str">
        <x:v>首款比例</x:v>
      </x:c>
      <x:c r="C7" s="30" t="n">
        <x:v>0.5</x:v>
      </x:c>
      <x:c r="D7" s="20" t="str">
        <x:v>比例</x:v>
      </x:c>
      <x:c r="E7" s="20" t="str">
        <x:v>首版标准定制</x:v>
      </x:c>
      <x:c r="F7" s="20" t="str">
        <x:v>30%–50%为讨论范围；调整后另审成本与支付结构</x:v>
      </x:c>
      <x:c r="G7" s="20" t="str">
        <x:v>研发/试制；正式支付结构待验证</x:v>
      </x:c>
      <x:c r="H7" s="20" t="str">
        <x:v>支付/制作成本变化</x:v>
      </x:c>
      <x:c r="I7" s="20" t="str">
        <x:v>REQ-001</x:v>
      </x:c>
      <x:c r="J7" s="20" t="str">
        <x:v>对应S05:A1原推荐50%</x:v>
      </x:c>
    </x:row>
    <x:row r="8" ht="106" customHeight="1">
      <x:c r="A8" s="20" t="str">
        <x:v>PAR-002</x:v>
      </x:c>
      <x:c r="B8" s="20" t="str">
        <x:v>尾款比例</x:v>
      </x:c>
      <x:c r="C8" s="32" t="n">
        <x:f>1-C7</x:f>
        <x:v>0.5</x:v>
      </x:c>
      <x:c r="D8" s="20" t="str">
        <x:v>比例</x:v>
      </x:c>
      <x:c r="E8" s="20" t="str">
        <x:v>首版标准定制</x:v>
      </x:c>
      <x:c r="F8" s="20" t="str">
        <x:v>必须与首款合计100%</x:v>
      </x:c>
      <x:c r="G8" s="20" t="str">
        <x:v>样片确认不等于最终验收</x:v>
      </x:c>
      <x:c r="H8" s="20" t="str">
        <x:v>联动PAR-001</x:v>
      </x:c>
      <x:c r="I8" s="20" t="str">
        <x:v>REQ-001</x:v>
      </x:c>
      <x:c r="J8" s="20" t="str">
        <x:v>由1－首款比例计算；改变首款前须同步审查合同、渠道及旧单适用范围</x:v>
      </x:c>
    </x:row>
    <x:row r="9" ht="106" customHeight="1">
      <x:c r="A9" s="20" t="str">
        <x:v>PAR-003</x:v>
      </x:c>
      <x:c r="B9" s="20" t="str">
        <x:v>样片时长</x:v>
      </x:c>
      <x:c r="C9" s="28" t="n">
        <x:v>30</x:v>
      </x:c>
      <x:c r="D9" s="20" t="str">
        <x:v>秒</x:v>
      </x:c>
      <x:c r="E9" s="20" t="str">
        <x:v>试制标准档</x:v>
      </x:c>
      <x:c r="F9" s="20" t="str">
        <x:v>20–30秒仅试制范围，订单承诺一个固定值</x:v>
      </x:c>
      <x:c r="G9" s="20" t="str">
        <x:v>需实际样片验证</x:v>
      </x:c>
      <x:c r="H9" s="20" t="str">
        <x:v>供应商/成本变化</x:v>
      </x:c>
      <x:c r="I9" s="20" t="str">
        <x:v>REQ-001</x:v>
      </x:c>
      <x:c r="J9" s="20" t="str">
        <x:v>本轮收窄假设</x:v>
      </x:c>
    </x:row>
    <x:row r="10" ht="106" customHeight="1">
      <x:c r="A10" s="20" t="str">
        <x:v>PAR-004</x:v>
      </x:c>
      <x:c r="B10" s="20" t="str">
        <x:v>成片时长</x:v>
      </x:c>
      <x:c r="C10" s="28" t="n">
        <x:v>90</x:v>
      </x:c>
      <x:c r="D10" s="20" t="str">
        <x:v>秒</x:v>
      </x:c>
      <x:c r="E10" s="20" t="str">
        <x:v>试制标准档</x:v>
      </x:c>
      <x:c r="F10" s="20" t="str">
        <x:v>60–90秒仅试制范围，订单承诺一个固定值</x:v>
      </x:c>
      <x:c r="G10" s="20" t="str">
        <x:v>需实际成片验证</x:v>
      </x:c>
      <x:c r="H10" s="20" t="str">
        <x:v>供给/体验变化</x:v>
      </x:c>
      <x:c r="I10" s="20" t="str">
        <x:v>REQ-038</x:v>
      </x:c>
      <x:c r="J10" s="20" t="str">
        <x:v>本轮新增假设</x:v>
      </x:c>
    </x:row>
    <x:row r="11" ht="106" customHeight="1">
      <x:c r="A11" s="20" t="str">
        <x:v>PAR-005</x:v>
      </x:c>
      <x:c r="B11" s="20" t="str">
        <x:v>输出规格</x:v>
      </x:c>
      <x:c r="C11" s="28" t="str">
        <x:v>1080p / 9:16</x:v>
      </x:c>
      <x:c r="D11" s="20" t="str">
        <x:v>规格</x:v>
      </x:c>
      <x:c r="E11" s="20" t="str">
        <x:v>试制标准档</x:v>
      </x:c>
      <x:c r="F11" s="20" t="str">
        <x:v>上游真实支持及合同定义</x:v>
      </x:c>
      <x:c r="G11" s="20" t="str">
        <x:v>不能升级插值冒充原生效果</x:v>
      </x:c>
      <x:c r="H11" s="20" t="str">
        <x:v>上游能力变化</x:v>
      </x:c>
      <x:c r="I11" s="20" t="str">
        <x:v>REQ-038</x:v>
      </x:c>
      <x:c r="J11" s="20" t="str">
        <x:v>本轮新增假设</x:v>
      </x:c>
    </x:row>
    <x:row r="12" ht="106" customHeight="1">
      <x:c r="A12" s="20" t="str">
        <x:v>PAR-006</x:v>
      </x:c>
      <x:c r="B12" s="20" t="str">
        <x:v>免费创意修改轮次</x:v>
      </x:c>
      <x:c r="C12" s="28" t="n">
        <x:v>2</x:v>
      </x:c>
      <x:c r="D12" s="20" t="str">
        <x:v>轮</x:v>
      </x:c>
      <x:c r="E12" s="20" t="str">
        <x:v>样片阶段</x:v>
      </x:c>
      <x:c r="F12" s="20" t="str">
        <x:v>1–3；仅新报价，旧单不减少</x:v>
      </x:c>
      <x:c r="G12" s="20" t="str">
        <x:v>一轮=客户集中反馈；质量纠错不占轮次</x:v>
      </x:c>
      <x:c r="H12" s="20" t="str">
        <x:v>返工成本或投诉变化</x:v>
      </x:c>
      <x:c r="I12" s="20" t="str">
        <x:v>REQ-001</x:v>
      </x:c>
      <x:c r="J12" s="20" t="str">
        <x:v>对应S05:A1推荐</x:v>
      </x:c>
    </x:row>
    <x:row r="13" ht="106" customHeight="1">
      <x:c r="A13" s="20" t="str">
        <x:v>PAR-007</x:v>
      </x:c>
      <x:c r="B13" s="20" t="str">
        <x:v>反馈提醒时间</x:v>
      </x:c>
      <x:c r="C13" s="28" t="n">
        <x:v>48</x:v>
      </x:c>
      <x:c r="D13" s="20" t="str">
        <x:v>小时</x:v>
      </x:c>
      <x:c r="E13" s="20" t="str">
        <x:v>样片待确认</x:v>
      </x:c>
      <x:c r="F13" s="20" t="str">
        <x:v>24–72；不自动验收</x:v>
      </x:c>
      <x:c r="G13" s="20" t="str">
        <x:v>影响承诺时只对新单或获同意的旧单调整</x:v>
      </x:c>
      <x:c r="H13" s="20" t="str">
        <x:v>客服/客户响应数据</x:v>
      </x:c>
      <x:c r="I13" s="20" t="str">
        <x:v>REQ-001</x:v>
      </x:c>
      <x:c r="J13" s="20" t="str">
        <x:v>对应S05:A1推荐</x:v>
      </x:c>
    </x:row>
    <x:row r="14" ht="106" customHeight="1">
      <x:c r="A14" s="20" t="str">
        <x:v>PAR-008</x:v>
      </x:c>
      <x:c r="B14" s="20" t="str">
        <x:v>样片制作目标</x:v>
      </x:c>
      <x:c r="C14" s="28" t="n">
        <x:v>5</x:v>
      </x:c>
      <x:c r="D14" s="20" t="str">
        <x:v>工作日</x:v>
      </x:c>
      <x:c r="E14" s="20" t="str">
        <x:v>材料/授权齐全且开工后</x:v>
      </x:c>
      <x:c r="F14" s="20" t="str">
        <x:v>逐单承诺；试制前不得对外保证</x:v>
      </x:c>
      <x:c r="G14" s="20" t="str">
        <x:v>工作日历与暂停原因入订单</x:v>
      </x:c>
      <x:c r="H14" s="20" t="str">
        <x:v>内部试制结束</x:v>
      </x:c>
      <x:c r="I14" s="20" t="str">
        <x:v>REQ-038</x:v>
      </x:c>
      <x:c r="J14" s="20" t="str">
        <x:v>本轮产能假设</x:v>
      </x:c>
    </x:row>
    <x:row r="15" ht="106" customHeight="1">
      <x:c r="A15" s="20" t="str">
        <x:v>PAR-009</x:v>
      </x:c>
      <x:c r="B15" s="20" t="str">
        <x:v>成片制作目标</x:v>
      </x:c>
      <x:c r="C15" s="28" t="n">
        <x:v>5</x:v>
      </x:c>
      <x:c r="D15" s="20" t="str">
        <x:v>工作日</x:v>
      </x:c>
      <x:c r="E15" s="20" t="str">
        <x:v>样片确认且尾款到账后</x:v>
      </x:c>
      <x:c r="F15" s="20" t="str">
        <x:v>逐单承诺；试制前不得对外保证</x:v>
      </x:c>
      <x:c r="G15" s="20" t="str">
        <x:v>变更需求需重新协商时限</x:v>
      </x:c>
      <x:c r="H15" s="20" t="str">
        <x:v>内部试制结束</x:v>
      </x:c>
      <x:c r="I15" s="20" t="str">
        <x:v>REQ-038</x:v>
      </x:c>
      <x:c r="J15" s="20" t="str">
        <x:v>本轮产能假设</x:v>
      </x:c>
    </x:row>
    <x:row r="16" ht="106" customHeight="1">
      <x:c r="A16" s="20" t="str">
        <x:v>PAR-010</x:v>
      </x:c>
      <x:c r="B16" s="20" t="str">
        <x:v>同时在制上限</x:v>
      </x:c>
      <x:c r="C16" s="28" t="n">
        <x:v>5</x:v>
      </x:c>
      <x:c r="D16" s="20" t="str">
        <x:v>单</x:v>
      </x:c>
      <x:c r="E16" s="20" t="str">
        <x:v>首轮试运营</x:v>
      </x:c>
      <x:c r="F16" s="20" t="str">
        <x:v>以制作产能确定，未验证不自动扩大</x:v>
      </x:c>
      <x:c r="G16" s="20" t="str">
        <x:v>满额暂停接单或排队明示</x:v>
      </x:c>
      <x:c r="H16" s="20" t="str">
        <x:v>每周及延期事件</x:v>
      </x:c>
      <x:c r="I16" s="20" t="str">
        <x:v>REQ-040</x:v>
      </x:c>
      <x:c r="J16" s="20" t="str">
        <x:v>本轮产能假设</x:v>
      </x:c>
    </x:row>
    <x:row r="17" ht="106" customHeight="1">
      <x:c r="A17" s="20" t="str">
        <x:v>PAR-011</x:v>
      </x:c>
      <x:c r="B17" s="20" t="str">
        <x:v>内部试制样本数</x:v>
      </x:c>
      <x:c r="C17" s="28" t="n">
        <x:v>5</x:v>
      </x:c>
      <x:c r="D17" s="20" t="str">
        <x:v>条</x:v>
      </x:c>
      <x:c r="E17" s="20" t="str">
        <x:v>公开售卖前</x:v>
      </x:c>
      <x:c r="F17" s="20" t="str">
        <x:v>不少于5条覆盖不同外观/台词</x:v>
      </x:c>
      <x:c r="G17" s="20" t="str">
        <x:v>内部同意素材，不视为上线豁免</x:v>
      </x:c>
      <x:c r="H17" s="20" t="str">
        <x:v>样本完成后评估</x:v>
      </x:c>
      <x:c r="I17" s="20" t="str">
        <x:v>REQ-040</x:v>
      </x:c>
      <x:c r="J17" s="20" t="str">
        <x:v>本轮验证计划</x:v>
      </x:c>
    </x:row>
    <x:row r="18" ht="106" customHeight="1">
      <x:c r="A18" s="20" t="str">
        <x:v>PAR-012</x:v>
      </x:c>
      <x:c r="B18" s="20" t="str">
        <x:v>首轮经营复盘样本</x:v>
      </x:c>
      <x:c r="C18" s="28" t="n">
        <x:v>20</x:v>
      </x:c>
      <x:c r="D18" s="20" t="str">
        <x:v>个订单</x:v>
      </x:c>
      <x:c r="E18" s="20" t="str">
        <x:v>合规公开售卖后</x:v>
      </x:c>
      <x:c r="F18" s="20" t="str">
        <x:v>小样本仅判断方向，不宣称市场统计可靠</x:v>
      </x:c>
      <x:c r="G18" s="20" t="str">
        <x:v>高风险投诉即时复核，无须等满20</x:v>
      </x:c>
      <x:c r="H18" s="20" t="str">
        <x:v>首20单或30天先到</x:v>
      </x:c>
      <x:c r="I18" s="20" t="str">
        <x:v>REQ-040</x:v>
      </x:c>
      <x:c r="J18" s="20" t="str">
        <x:v>本轮验证计划</x:v>
      </x:c>
    </x:row>
    <x:row r="19" ht="106" customHeight="1">
      <x:c r="A19" s="20" t="str">
        <x:v>PAR-013</x:v>
      </x:c>
      <x:c r="B19" s="20" t="str">
        <x:v>初始合法模板数</x:v>
      </x:c>
      <x:c r="C19" s="28" t="n">
        <x:v>3</x:v>
      </x:c>
      <x:c r="D19" s="20" t="str">
        <x:v>个</x:v>
      </x:c>
      <x:c r="E19" s="20" t="str">
        <x:v>P0故事框架</x:v>
      </x:c>
      <x:c r="F19" s="20" t="str">
        <x:v>只上架有完整许可的项目</x:v>
      </x:c>
      <x:c r="G19" s="20" t="str">
        <x:v>许可不足则不上架</x:v>
      </x:c>
      <x:c r="H19" s="20" t="str">
        <x:v>采购许可变化</x:v>
      </x:c>
      <x:c r="I19" s="20" t="str">
        <x:v>REQ-022</x:v>
      </x:c>
      <x:c r="J19" s="20" t="str">
        <x:v>本轮假设</x:v>
      </x:c>
    </x:row>
    <x:row r="20" ht="106" customHeight="1">
      <x:c r="A20" s="20" t="str">
        <x:v>PAR-014</x:v>
      </x:c>
      <x:c r="B20" s="20" t="str">
        <x:v>单片主角</x:v>
      </x:c>
      <x:c r="C20" s="28" t="n">
        <x:v>1</x:v>
      </x:c>
      <x:c r="D20" s="20" t="str">
        <x:v>人</x:v>
      </x:c>
      <x:c r="E20" s="20" t="str">
        <x:v>P0</x:v>
      </x:c>
      <x:c r="F20" s="20" t="str">
        <x:v>首版不增加多人真人融合</x:v>
      </x:c>
      <x:c r="G20" s="20" t="str">
        <x:v>如扩展属于新规格/新验收</x:v>
      </x:c>
      <x:c r="H20" s="20" t="str">
        <x:v>产品试运营后</x:v>
      </x:c>
      <x:c r="I20" s="20" t="str">
        <x:v>REQ-038</x:v>
      </x:c>
      <x:c r="J20" s="20" t="str">
        <x:v>本轮假设</x:v>
      </x:c>
    </x:row>
    <x:row r="21" ht="106" customHeight="1">
      <x:c r="A21" s="20" t="str">
        <x:v>PAR-015</x:v>
      </x:c>
      <x:c r="B21" s="20" t="str">
        <x:v>单片附加配角上限</x:v>
      </x:c>
      <x:c r="C21" s="28" t="n">
        <x:v>1</x:v>
      </x:c>
      <x:c r="D21" s="20" t="str">
        <x:v>个</x:v>
      </x:c>
      <x:c r="E21" s="20" t="str">
        <x:v>P0</x:v>
      </x:c>
      <x:c r="F21" s="20" t="str">
        <x:v>仅有权使用的虚拟库存角色</x:v>
      </x:c>
      <x:c r="G21" s="20" t="str">
        <x:v>真人陪演市场不在P0</x:v>
      </x:c>
      <x:c r="H21" s="20" t="str">
        <x:v>P1立项</x:v>
      </x:c>
      <x:c r="I21" s="20" t="str">
        <x:v>REQ-007</x:v>
      </x:c>
      <x:c r="J21" s="20" t="str">
        <x:v>本轮范围假设</x:v>
      </x:c>
    </x:row>
    <x:row r="22" ht="106" customHeight="1">
      <x:c r="A22" s="20" t="str">
        <x:v>PAR-016</x:v>
      </x:c>
      <x:c r="B22" s="20" t="str">
        <x:v>P0购买/真人建模年龄</x:v>
      </x:c>
      <x:c r="C22" s="28" t="n">
        <x:v>18</x:v>
      </x:c>
      <x:c r="D22" s="20" t="str">
        <x:v>周岁</x:v>
      </x:c>
      <x:c r="E22" s="20" t="str">
        <x:v>P0产品规则</x:v>
      </x:c>
      <x:c r="F22" s="20" t="str">
        <x:v>不设为可随意下调的运营参数</x:v>
      </x:c>
      <x:c r="G22" s="20" t="str">
        <x:v>不是法定通用年龄；未成年人专项后另定</x:v>
      </x:c>
      <x:c r="H22" s="20" t="str">
        <x:v>童星业务启动前</x:v>
      </x:c>
      <x:c r="I22" s="20" t="str">
        <x:v>REQ-037</x:v>
      </x:c>
      <x:c r="J22" s="20" t="str">
        <x:v>本轮安全范围</x:v>
      </x:c>
    </x:row>
    <x:row r="23" ht="106" customHeight="1">
      <x:c r="A23" s="20" t="str">
        <x:v>PAR-017</x:v>
      </x:c>
      <x:c r="B23" s="20" t="str">
        <x:v>成片在线访问目标</x:v>
      </x:c>
      <x:c r="C23" s="28" t="n">
        <x:v>180</x:v>
      </x:c>
      <x:c r="D23" s="20" t="str">
        <x:v>天</x:v>
      </x:c>
      <x:c r="E23" s="20" t="str">
        <x:v>P0交付保存</x:v>
      </x:c>
      <x:c r="F23" s="20" t="str">
        <x:v>试运营前按成本/服务条款审批</x:v>
      </x:c>
      <x:c r="G23" s="20" t="str">
        <x:v>旧单已承诺期限不随默认值减少</x:v>
      </x:c>
      <x:c r="H23" s="20" t="str">
        <x:v>存储成本/客户需求</x:v>
      </x:c>
      <x:c r="I23" s="20" t="str">
        <x:v>REQ-041</x:v>
      </x:c>
      <x:c r="J23" s="20" t="str">
        <x:v>本轮服务假设</x:v>
      </x:c>
    </x:row>
    <x:row r="24" ht="106" customHeight="1">
      <x:c r="A24" s="20" t="str">
        <x:v>PAR-018</x:v>
      </x:c>
      <x:c r="B24" s="20" t="str">
        <x:v>到期下载提醒</x:v>
      </x:c>
      <x:c r="C24" s="28" t="n">
        <x:v>30</x:v>
      </x:c>
      <x:c r="D24" s="20" t="str">
        <x:v>天前</x:v>
      </x:c>
      <x:c r="E24" s="20" t="str">
        <x:v>成片在线访问</x:v>
      </x:c>
      <x:c r="F24" s="20" t="str">
        <x:v>与保存期联动</x:v>
      </x:c>
      <x:c r="G24" s="20" t="str">
        <x:v>已下载使用权按授权范围，不因云删除自动扩张或消失</x:v>
      </x:c>
      <x:c r="H24" s="20" t="str">
        <x:v>留存政策变化</x:v>
      </x:c>
      <x:c r="I24" s="20" t="str">
        <x:v>REQ-041</x:v>
      </x:c>
      <x:c r="J24" s="20" t="str">
        <x:v>本轮服务假设</x:v>
      </x:c>
    </x:row>
    <x:row r="25" ht="106" customHeight="1">
      <x:c r="A25" s="20" t="str">
        <x:v>PAR-019</x:v>
      </x:c>
      <x:c r="B25" s="20" t="str">
        <x:v>P1佣金情景</x:v>
      </x:c>
      <x:c r="C25" s="30" t="n">
        <x:v>0.2</x:v>
      </x:c>
      <x:c r="D25" s="20" t="str">
        <x:v>比例</x:v>
      </x:c>
      <x:c r="E25" s="20" t="str">
        <x:v>P1测算；P0不启用</x:v>
      </x:c>
      <x:c r="F25" s="20" t="str">
        <x:v>无生产默认，需另定计佣基数</x:v>
      </x:c>
      <x:c r="G25" s="20" t="str">
        <x:v>不是已签比例/不进入P0扣款</x:v>
      </x:c>
      <x:c r="H25" s="20" t="str">
        <x:v>P1报价和合同确认</x:v>
      </x:c>
      <x:c r="I25" s="20" t="str">
        <x:v>REQ-018</x:v>
      </x:c>
      <x:c r="J25" s="20" t="str">
        <x:v>对应S05:C1推荐，仅情景</x:v>
      </x:c>
    </x:row>
    <x:row r="26" ht="106" customHeight="1">
      <x:c r="A26" s="20" t="str">
        <x:v>PAR-020</x:v>
      </x:c>
      <x:c r="B26" s="20" t="str">
        <x:v>正式零售价</x:v>
      </x:c>
      <x:c r="C26" s="28" t="str">
        <x:v>未发布</x:v>
      </x:c>
      <x:c r="D26" s="20" t="str">
        <x:v>元</x:v>
      </x:c>
      <x:c r="E26" s="20" t="str">
        <x:v>按供应商成本及渠道核定</x:v>
      </x:c>
      <x:c r="F26" s="20" t="str">
        <x:v>必须大于等于经批准报价，不自动发布</x:v>
      </x:c>
      <x:c r="G26" s="20" t="str">
        <x:v>5000元为源稿示例，不作为本次生产售价</x:v>
      </x:c>
      <x:c r="H26" s="20" t="str">
        <x:v>5条试片与报价完成</x:v>
      </x:c>
      <x:c r="I26" s="20" t="str">
        <x:v>REQ-040</x:v>
      </x:c>
      <x:c r="J26" s="20" t="str">
        <x:v>S03§6.2</x:v>
      </x:c>
    </x:row>
    <x:row r="27" ht="106" customHeight="1">
      <x:c r="A27" s="20" t="str">
        <x:v>PAR-021</x:v>
      </x:c>
      <x:c r="B27" s="20" t="str">
        <x:v>AI每日费用上限</x:v>
      </x:c>
      <x:c r="C27" s="28" t="str">
        <x:v>待企业额度</x:v>
      </x:c>
      <x:c r="D27" s="20" t="str">
        <x:v>元/日</x:v>
      </x:c>
      <x:c r="E27" s="20" t="str">
        <x:v>真实模型调用</x:v>
      </x:c>
      <x:c r="F27" s="20" t="str">
        <x:v>余额/单次成本核验后给数</x:v>
      </x:c>
      <x:c r="G27" s="20" t="str">
        <x:v>未设置成本上限不允许无上限批量真实任务</x:v>
      </x:c>
      <x:c r="H27" s="20" t="str">
        <x:v>采购额度变化</x:v>
      </x:c>
      <x:c r="I27" s="20" t="str">
        <x:v>REQ-040</x:v>
      </x:c>
      <x:c r="J27" s="20" t="str">
        <x:v>外部金额不可代填</x:v>
      </x:c>
    </x:row>
  </x:sheetData>
  <x:mergeCells>
    <x:mergeCell ref="A1:J2"/>
    <x:mergeCell ref="A3:J4"/>
  </x:mergeCells>
  <x:pageMargins left="0.7" right="0.7" top="0.75" bottom="0.75" header="0.3" footer="0.3"/>
  <x:tableParts count="1">
    <x:tablePart xmlns:r="http://schemas.openxmlformats.org/officeDocument/2006/relationships" r:id="R916773caa10b4ed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58" hidden="0" customWidth="1"/>
    <x:col min="4" max="4" width="56" hidden="0" customWidth="1"/>
  </x:cols>
  <x:sheetData>
    <x:row r="1" ht="24" customHeight="1">
      <x:c r="A1" s="8" t="str">
        <x:v>V2三端方案｜D01—D23逐条保留去向</x:v>
      </x:c>
      <x:c r="B1" s="8"/>
      <x:c r="C1" s="8"/>
      <x:c r="D1" s="8"/>
    </x:row>
    <x:row r="2" ht="24" customHeight="1">
      <x:c r="A2" s="8"/>
      <x:c r="B2" s="8"/>
      <x:c r="C2" s="8"/>
      <x:c r="D2" s="8"/>
    </x:row>
    <x:row r="3" ht="22" customHeight="1">
      <x:c r="A3" s="15" t="str">
        <x:v>V2-D01与V3-D1不是同一项。旧图中的A/B/C/M/X/Q是模块编号；需求编号统一新增REQ，不重复占用历史编号。</x:v>
      </x:c>
      <x:c r="B3" s="15"/>
      <x:c r="C3" s="15"/>
      <x:c r="D3" s="15"/>
    </x:row>
    <x:row r="4" ht="22" customHeight="1">
      <x:c r="A4" s="15"/>
      <x:c r="B4" s="15"/>
      <x:c r="C4" s="15"/>
      <x:c r="D4" s="15"/>
    </x:row>
    <x:row r="5">
      <x:c r="A5" s="4"/>
      <x:c r="B5" s="4"/>
      <x:c r="C5" s="4"/>
      <x:c r="D5" s="4"/>
    </x:row>
    <x:row r="6" ht="34" customHeight="1">
      <x:c r="A6" s="24" t="str">
        <x:v>旧版编号</x:v>
      </x:c>
      <x:c r="B6" s="24" t="str">
        <x:v>原议题</x:v>
      </x:c>
      <x:c r="C6" s="24" t="str">
        <x:v>在新基线中的处理</x:v>
      </x:c>
      <x:c r="D6" s="24" t="str">
        <x:v>新版关联</x:v>
      </x:c>
    </x:row>
    <x:row r="7" ht="72" customHeight="1">
      <x:c r="A7" s="20" t="str">
        <x:v>V2-D01</x:v>
      </x:c>
      <x:c r="B7" s="20" t="str">
        <x:v>角色消费与发行收入权</x:v>
      </x:c>
      <x:c r="C7" s="20" t="str">
        <x:v>保留原则；发行执行后置P2</x:v>
      </x:c>
      <x:c r="D7" s="20" t="str">
        <x:v>V3-A4;V3-D3;V3-D6;REQ-036</x:v>
      </x:c>
    </x:row>
    <x:row r="8" ht="72" customHeight="1">
      <x:c r="A8" s="20" t="str">
        <x:v>V2-D02</x:v>
      </x:c>
      <x:c r="B8" s="20" t="str">
        <x:v>合作报酬方式</x:v>
      </x:c>
      <x:c r="C8" s="20" t="str">
        <x:v>P0采购核算；分成留P1/P2</x:v>
      </x:c>
      <x:c r="D8" s="20" t="str">
        <x:v>V3-A4;V3-C1;V3-D6</x:v>
      </x:c>
    </x:row>
    <x:row r="9" ht="72" customHeight="1">
      <x:c r="A9" s="20" t="str">
        <x:v>V2-D03</x:v>
      </x:c>
      <x:c r="B9" s="20" t="str">
        <x:v>可分配收入</x:v>
      </x:c>
      <x:c r="C9" s="20" t="str">
        <x:v>后置P2</x:v>
      </x:c>
      <x:c r="D9" s="20" t="str">
        <x:v>V3-D6</x:v>
      </x:c>
    </x:row>
    <x:row r="10" ht="72" customHeight="1">
      <x:c r="A10" s="20" t="str">
        <x:v>V2-D04</x:v>
      </x:c>
      <x:c r="B10" s="20" t="str">
        <x:v>收入展示</x:v>
      </x:c>
      <x:c r="C10" s="20" t="str">
        <x:v>P0不设收益钱包；P1/P2再展示</x:v>
      </x:c>
      <x:c r="D10" s="20" t="str">
        <x:v>V3-C2;V3-D6</x:v>
      </x:c>
    </x:row>
    <x:row r="11" ht="72" customHeight="1">
      <x:c r="A11" s="20" t="str">
        <x:v>V2-D05</x:v>
      </x:c>
      <x:c r="B11" s="20" t="str">
        <x:v>框架协议与单项目确认书</x:v>
      </x:c>
      <x:c r="C11" s="20" t="str">
        <x:v>按私人定制订单范围拆阶段与用途，长期商用后置</x:v>
      </x:c>
      <x:c r="D11" s="20" t="str">
        <x:v>V3-B1;REQ-036;REQ-042</x:v>
      </x:c>
    </x:row>
    <x:row r="12" ht="72" customHeight="1">
      <x:c r="A12" s="20" t="str">
        <x:v>V2-D06</x:v>
      </x:c>
      <x:c r="B12" s="20" t="str">
        <x:v>剧本库性质</x:v>
      </x:c>
      <x:c r="C12" s="20" t="str">
        <x:v>P0题库模板先做，非直接版权买断</x:v>
      </x:c>
      <x:c r="D12" s="20" t="str">
        <x:v>V3-C5</x:v>
      </x:c>
    </x:row>
    <x:row r="13" ht="72" customHeight="1">
      <x:c r="A13" s="20" t="str">
        <x:v>V2-D07</x:v>
      </x:c>
      <x:c r="B13" s="20" t="str">
        <x:v>剧本维护</x:v>
      </x:c>
      <x:c r="C13" s="20" t="str">
        <x:v>P0运营/签约制作班底提交</x:v>
      </x:c>
      <x:c r="D13" s="20" t="str">
        <x:v>V3-A3;V3-C5</x:v>
      </x:c>
    </x:row>
    <x:row r="14" ht="72" customHeight="1">
      <x:c r="A14" s="20" t="str">
        <x:v>V2-D08</x:v>
      </x:c>
      <x:c r="B14" s="20" t="str">
        <x:v>关键节点</x:v>
      </x:c>
      <x:c r="C14" s="20" t="str">
        <x:v>简化为订单生产节点，发行项目后置</x:v>
      </x:c>
      <x:c r="D14" s="20" t="str">
        <x:v>V3-A1;V3-A3;REQ-043</x:v>
      </x:c>
    </x:row>
    <x:row r="15" ht="72" customHeight="1">
      <x:c r="A15" s="20" t="str">
        <x:v>V2-D09</x:v>
      </x:c>
      <x:c r="B15" s="20" t="str">
        <x:v>内容版本审核</x:v>
      </x:c>
      <x:c r="C15" s="20" t="str">
        <x:v>P0保留并强化样片确认</x:v>
      </x:c>
      <x:c r="D15" s="20" t="str">
        <x:v>V3-A1;REQ-038</x:v>
      </x:c>
    </x:row>
    <x:row r="16" ht="72" customHeight="1">
      <x:c r="A16" s="20" t="str">
        <x:v>V2-D10</x:v>
      </x:c>
      <x:c r="B16" s="20" t="str">
        <x:v>机构与权利关系</x:v>
      </x:c>
      <x:c r="C16" s="20" t="str">
        <x:v>主体基础保留，MCN业务后置P1</x:v>
      </x:c>
      <x:c r="D16" s="20" t="str">
        <x:v>V3-C6</x:v>
      </x:c>
    </x:row>
    <x:row r="17" ht="72" customHeight="1">
      <x:c r="A17" s="20" t="str">
        <x:v>V2-D11</x:v>
      </x:c>
      <x:c r="B17" s="20" t="str">
        <x:v>合作机构后台</x:v>
      </x:c>
      <x:c r="C17" s="20" t="str">
        <x:v>P0仅最小制作后台；完整B端后置</x:v>
      </x:c>
      <x:c r="D17" s="20" t="str">
        <x:v>V3-A3;V3-C6</x:v>
      </x:c>
    </x:row>
    <x:row r="18" ht="72" customHeight="1">
      <x:c r="A18" s="20" t="str">
        <x:v>V2-D12</x:v>
      </x:c>
      <x:c r="B18" s="20" t="str">
        <x:v>iOS收费分类</x:v>
      </x:c>
      <x:c r="C18" s="20" t="str">
        <x:v>P0前置核验</x:v>
      </x:c>
      <x:c r="D18" s="20" t="str">
        <x:v>V3-A8</x:v>
      </x:c>
    </x:row>
    <x:row r="19" ht="72" customHeight="1">
      <x:c r="A19" s="20" t="str">
        <x:v>V2-D13</x:v>
      </x:c>
      <x:c r="B19" s="20" t="str">
        <x:v>每项目授权</x:v>
      </x:c>
      <x:c r="C19" s="20" t="str">
        <x:v>P0每用途确认；商用/发行再授权</x:v>
      </x:c>
      <x:c r="D19" s="20" t="str">
        <x:v>V3-A6;V3-B1;V3-D4</x:v>
      </x:c>
    </x:row>
    <x:row r="20" ht="72" customHeight="1">
      <x:c r="A20" s="20" t="str">
        <x:v>V2-D14</x:v>
      </x:c>
      <x:c r="B20" s="20" t="str">
        <x:v>解绑与历史项目</x:v>
      </x:c>
      <x:c r="C20" s="20" t="str">
        <x:v>保留历史不追改原则</x:v>
      </x:c>
      <x:c r="D20" s="20" t="str">
        <x:v>V3-C6;REQ-042</x:v>
      </x:c>
    </x:row>
    <x:row r="21" ht="72" customHeight="1">
      <x:c r="A21" s="20" t="str">
        <x:v>V2-D15</x:v>
      </x:c>
      <x:c r="B21" s="20" t="str">
        <x:v>入组方式</x:v>
      </x:c>
      <x:c r="C21" s="20" t="str">
        <x:v>后置P1/P2；P0封闭供给</x:v>
      </x:c>
      <x:c r="D21" s="20" t="str">
        <x:v>V3-A7;V3-D2;V3-D3</x:v>
      </x:c>
    </x:row>
    <x:row r="22" ht="72" customHeight="1">
      <x:c r="A22" s="20" t="str">
        <x:v>V2-D16</x:v>
      </x:c>
      <x:c r="B22" s="20" t="str">
        <x:v>退出取消</x:v>
      </x:c>
      <x:c r="C22" s="20" t="str">
        <x:v>P0退款与暂停；发行退出后置</x:v>
      </x:c>
      <x:c r="D22" s="20" t="str">
        <x:v>V3-A2;V3-B3;V3-D2</x:v>
      </x:c>
    </x:row>
    <x:row r="23" ht="72" customHeight="1">
      <x:c r="A23" s="20" t="str">
        <x:v>V2-D17</x:v>
      </x:c>
      <x:c r="B23" s="20" t="str">
        <x:v>修改验收</x:v>
      </x:c>
      <x:c r="C23" s="20" t="str">
        <x:v>P0样片与成片分别确认</x:v>
      </x:c>
      <x:c r="D23" s="20" t="str">
        <x:v>V3-A1;V3-A2;REQ-038</x:v>
      </x:c>
    </x:row>
    <x:row r="24" ht="72" customHeight="1">
      <x:c r="A24" s="20" t="str">
        <x:v>V2-D18</x:v>
      </x:c>
      <x:c r="B24" s="20" t="str">
        <x:v>资料权限</x:v>
      </x:c>
      <x:c r="C24" s="20" t="str">
        <x:v>P0必须保留，制作账号只看分配订单</x:v>
      </x:c>
      <x:c r="D24" s="20" t="str">
        <x:v>V3-B1;REQ-035;REQ-041</x:v>
      </x:c>
    </x:row>
    <x:row r="25" ht="72" customHeight="1">
      <x:c r="A25" s="20" t="str">
        <x:v>V2-D19</x:v>
      </x:c>
      <x:c r="B25" s="20" t="str">
        <x:v>权利范围</x:v>
      </x:c>
      <x:c r="C25" s="20" t="str">
        <x:v>P0前置，补齐私人/公开使用区别</x:v>
      </x:c>
      <x:c r="D25" s="20" t="str">
        <x:v>V3-A6;V3-B3;V3-C5;V3-D4;REQ-036</x:v>
      </x:c>
    </x:row>
    <x:row r="26" ht="72" customHeight="1">
      <x:c r="A26" s="20" t="str">
        <x:v>V2-D20</x:v>
      </x:c>
      <x:c r="B26" s="20" t="str">
        <x:v>结算异议</x:v>
      </x:c>
      <x:c r="C26" s="20" t="str">
        <x:v>P0付款/退款真实记录；发行结算后置</x:v>
      </x:c>
      <x:c r="D26" s="20" t="str">
        <x:v>V3-C2;V3-D6;REQ-042</x:v>
      </x:c>
    </x:row>
    <x:row r="27" ht="72" customHeight="1">
      <x:c r="A27" s="20" t="str">
        <x:v>V2-D21</x:v>
      </x:c>
      <x:c r="B27" s="20" t="str">
        <x:v>平台收费</x:v>
      </x:c>
      <x:c r="C27" s="20" t="str">
        <x:v>P0自营销售核算；后期佣金另行冻结</x:v>
      </x:c>
      <x:c r="D27" s="20" t="str">
        <x:v>V3-A4;V3-C1;REQ-040</x:v>
      </x:c>
    </x:row>
    <x:row r="28" ht="72" customHeight="1">
      <x:c r="A28" s="20" t="str">
        <x:v>V2-D22</x:v>
      </x:c>
      <x:c r="B28" s="20" t="str">
        <x:v>未成年人</x:v>
      </x:c>
      <x:c r="C28" s="20" t="str">
        <x:v>P0暂不开放真人建模/购买给未成年人</x:v>
      </x:c>
      <x:c r="D28" s="20" t="str">
        <x:v>REQ-037</x:v>
      </x:c>
    </x:row>
    <x:row r="29" ht="72" customHeight="1">
      <x:c r="A29" s="20" t="str">
        <x:v>V2-D23</x:v>
      </x:c>
      <x:c r="B29" s="20" t="str">
        <x:v>标准/项目售后</x:v>
      </x:c>
      <x:c r="C29" s="20" t="str">
        <x:v>保留分类，不一条规则包办</x:v>
      </x:c>
      <x:c r="D29" s="20" t="str">
        <x:v>V3-A2;V3-C7</x:v>
      </x:c>
    </x:row>
  </x:sheetData>
  <x:mergeCells>
    <x:mergeCell ref="A1:D2"/>
    <x:mergeCell ref="A3:D4"/>
  </x:mergeCells>
  <x:pageMargins left="0.7" right="0.7" top="0.75" bottom="0.75" header="0.3" footer="0.3"/>
  <x:tableParts count="1">
    <x:tablePart xmlns:r="http://schemas.openxmlformats.org/officeDocument/2006/relationships" r:id="Re5c375855e30416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7" hidden="0" customWidth="1"/>
    <x:col min="3" max="3" width="34" hidden="0" customWidth="1"/>
    <x:col min="4" max="4" width="36" hidden="0" customWidth="1"/>
    <x:col min="5" max="5" width="52" hidden="0" customWidth="1"/>
    <x:col min="6" max="6" width="42" hidden="0" customWidth="1"/>
    <x:col min="7" max="7" width="30" hidden="0" customWidth="1"/>
    <x:col min="8" max="8" width="34" hidden="0" customWidth="1"/>
    <x:col min="9" max="9" width="16" hidden="0" customWidth="1"/>
    <x:col min="10" max="10" width="20" hidden="0" customWidth="1"/>
  </x:cols>
  <x:sheetData>
    <x:row r="1" ht="24" customHeight="1">
      <x:c r="A1" s="8" t="str">
        <x:v>相对V3原推荐的变化｜不静默覆盖</x:v>
      </x:c>
      <x:c r="B1" s="8"/>
      <x:c r="C1" s="8"/>
      <x:c r="D1" s="8"/>
      <x:c r="E1" s="8"/>
      <x:c r="F1" s="8"/>
      <x:c r="G1" s="8"/>
      <x:c r="H1" s="8"/>
      <x:c r="I1" s="8"/>
      <x:c r="J1" s="8"/>
    </x:row>
    <x:row r="2" ht="24" customHeight="1">
      <x:c r="A2" s="8"/>
      <x:c r="B2" s="8"/>
      <x:c r="C2" s="8"/>
      <x:c r="D2" s="8"/>
      <x:c r="E2" s="8"/>
      <x:c r="F2" s="8"/>
      <x:c r="G2" s="8"/>
      <x:c r="H2" s="8"/>
      <x:c r="I2" s="8"/>
      <x:c r="J2" s="8"/>
    </x:row>
    <x:row r="3" ht="22" customHeight="1">
      <x:c r="A3" s="15" t="str">
        <x:v>以下是本轮研究提出的变化，均未冒充正式会议结论。后续变化沿用CR编号，记清原因、生效对象、旧单处置及发布状态。</x:v>
      </x:c>
      <x:c r="B3" s="15"/>
      <x:c r="C3" s="15"/>
      <x:c r="D3" s="15"/>
      <x:c r="E3" s="15"/>
      <x:c r="F3" s="15"/>
      <x:c r="G3" s="15"/>
      <x:c r="H3" s="15"/>
      <x:c r="I3" s="15"/>
      <x:c r="J3" s="15"/>
    </x:row>
    <x:row r="4" ht="22" customHeight="1">
      <x:c r="A4" s="15"/>
      <x:c r="B4" s="15"/>
      <x:c r="C4" s="15"/>
      <x:c r="D4" s="15"/>
      <x:c r="E4" s="15"/>
      <x:c r="F4" s="15"/>
      <x:c r="G4" s="15"/>
      <x:c r="H4" s="15"/>
      <x:c r="I4" s="15"/>
      <x:c r="J4" s="15"/>
    </x:row>
    <x:row r="5">
      <x:c r="A5" s="4"/>
      <x:c r="B5" s="4"/>
      <x:c r="C5" s="4"/>
      <x:c r="D5" s="4"/>
      <x:c r="E5" s="4"/>
      <x:c r="F5" s="4"/>
      <x:c r="G5" s="4"/>
      <x:c r="H5" s="4"/>
      <x:c r="I5" s="4"/>
      <x:c r="J5" s="4"/>
    </x:row>
    <x:row r="6" ht="34" customHeight="1">
      <x:c r="A6" s="24" t="str">
        <x:v>变更编号</x:v>
      </x:c>
      <x:c r="B6" s="24" t="str">
        <x:v>关联需求</x:v>
      </x:c>
      <x:c r="C6" s="24" t="str">
        <x:v>变化主题</x:v>
      </x:c>
      <x:c r="D6" s="24" t="str">
        <x:v>旧方案依据</x:v>
      </x:c>
      <x:c r="E6" s="24" t="str">
        <x:v>新暂定方案</x:v>
      </x:c>
      <x:c r="F6" s="24" t="str">
        <x:v>调整理由</x:v>
      </x:c>
      <x:c r="G6" s="24" t="str">
        <x:v>决策状态</x:v>
      </x:c>
      <x:c r="H6" s="24" t="str">
        <x:v>适用对象</x:v>
      </x:c>
      <x:c r="I6" s="24" t="str">
        <x:v>登记日期</x:v>
      </x:c>
      <x:c r="J6" s="24" t="str">
        <x:v>启用状态</x:v>
      </x:c>
    </x:row>
    <x:row r="7" ht="132" customHeight="1">
      <x:c r="A7" s="20" t="str">
        <x:v>CR-20260920-001</x:v>
      </x:c>
      <x:c r="B7" s="20" t="str">
        <x:v>REQ-009</x:v>
      </x:c>
      <x:c r="C7" s="20" t="str">
        <x:v>P0三入口替代五个公开Tab</x:v>
      </x:c>
      <x:c r="D7" s="20" t="str">
        <x:v>V3原推荐见原始32项</x:v>
      </x:c>
      <x:c r="E7" s="20" t="str">
        <x:v>长期保留建立数字人、入戏、培育、成角四阶段；P0公开导航只显示首页、入戏、我的，数字人从首页/我的进入；未开放交易不挂空入口。</x:v>
      </x:c>
      <x:c r="F7" s="20" t="str">
        <x:v>用户应只看到实际可用服务；不为未来业务增加首页混乱。</x:v>
      </x:c>
      <x:c r="G7" s="20" t="str">
        <x:v>研究暂定，非会议已通过</x:v>
      </x:c>
      <x:c r="H7" s="20" t="str">
        <x:v>仅新设计；已有真实订单需另审</x:v>
      </x:c>
      <x:c r="I7" s="20" t="str">
        <x:v>2026-09-20</x:v>
      </x:c>
      <x:c r="J7" s="20" t="str">
        <x:v>未生产发布</x:v>
      </x:c>
    </x:row>
    <x:row r="8" ht="132" customHeight="1">
      <x:c r="A8" s="20" t="str">
        <x:v>CR-20260920-002</x:v>
      </x:c>
      <x:c r="B8" s="20" t="str">
        <x:v>REQ-004</x:v>
      </x:c>
      <x:c r="C8" s="20" t="str">
        <x:v>P0自营采购替代开放陪演分账</x:v>
      </x:c>
      <x:c r="D8" s="20" t="str">
        <x:v>V3原推荐见原始32项</x:v>
      </x:c>
      <x:c r="E8" s="20" t="str">
        <x:v>P0以销售收入、制作采购、剧本许可、角色许可、通道费等分类核算；不按每笔订单自动给消费者/MCN分红，不开放可提现钱包。</x:v>
      </x:c>
      <x:c r="F8" s="20" t="str">
        <x:v>自营收入与真实采购成本分开，比未开市场就建多方提现更可控。</x:v>
      </x:c>
      <x:c r="G8" s="20" t="str">
        <x:v>研究暂定，非会议已通过</x:v>
      </x:c>
      <x:c r="H8" s="20" t="str">
        <x:v>仅新设计；已有真实订单需另审</x:v>
      </x:c>
      <x:c r="I8" s="20" t="str">
        <x:v>2026-09-20</x:v>
      </x:c>
      <x:c r="J8" s="20" t="str">
        <x:v>未生产发布</x:v>
      </x:c>
    </x:row>
    <x:row r="9" ht="132" customHeight="1">
      <x:c r="A9" s="20" t="str">
        <x:v>CR-20260920-003</x:v>
      </x:c>
      <x:c r="B9" s="20" t="str">
        <x:v>REQ-006</x:v>
      </x:c>
      <x:c r="C9" s="20" t="str">
        <x:v>单独同意前移到真人素材处理前</x:v>
      </x:c>
      <x:c r="D9" s="20" t="str">
        <x:v>V3原推荐见原始32项</x:v>
      </x:c>
      <x:c r="E9" s="20" t="str">
        <x:v>采集/处理真人脸声前完成必要核验、充分告知和单独同意；个人创作授权与第三方商用授权分开；商用许可可后置，采集合意不能后置。</x:v>
      </x:c>
      <x:c r="F9" s="20" t="str">
        <x:v>自娱不豁免敏感信息处理义务，手机号登录也不等于肖像授权。</x:v>
      </x:c>
      <x:c r="G9" s="20" t="str">
        <x:v>研究暂定，非会议已通过</x:v>
      </x:c>
      <x:c r="H9" s="20" t="str">
        <x:v>仅新设计；已有真实订单需另审</x:v>
      </x:c>
      <x:c r="I9" s="20" t="str">
        <x:v>2026-09-20</x:v>
      </x:c>
      <x:c r="J9" s="20" t="str">
        <x:v>未生产发布</x:v>
      </x:c>
    </x:row>
    <x:row r="10" ht="132" customHeight="1">
      <x:c r="A10" s="20" t="str">
        <x:v>CR-20260920-004</x:v>
      </x:c>
      <x:c r="B10" s="20" t="str">
        <x:v>REQ-002</x:v>
      </x:c>
      <x:c r="C10" s="20" t="str">
        <x:v>退款扣项不沿用默认通道费/30%扣减</x:v>
      </x:c>
      <x:c r="D10" s="20" t="str">
        <x:v>V3原推荐见原始32项</x:v>
      </x:c>
      <x:c r="E10" s="20" t="str">
        <x:v>未开工取消全退，不另扣通道费；用户中止制作按事先披露且有凭证的合理已完成工作结算；质量不符先免费修正，仍不符依法退款/补救。</x:v>
      </x:c>
      <x:c r="F10" s="20" t="str">
        <x:v>区分主观改意与平台未履约；首款到账不代表平台已赚取全部首款。</x:v>
      </x:c>
      <x:c r="G10" s="20" t="str">
        <x:v>研究暂定，非会议已通过</x:v>
      </x:c>
      <x:c r="H10" s="20" t="str">
        <x:v>仅新设计；已有真实订单需另审</x:v>
      </x:c>
      <x:c r="I10" s="20" t="str">
        <x:v>2026-09-20</x:v>
      </x:c>
      <x:c r="J10" s="20" t="str">
        <x:v>未生产发布</x:v>
      </x:c>
    </x:row>
    <x:row r="11" ht="132" customHeight="1">
      <x:c r="A11" s="20" t="str">
        <x:v>CR-20260920-005</x:v>
      </x:c>
      <x:c r="B11" s="20" t="str">
        <x:v>REQ-010</x:v>
      </x:c>
      <x:c r="C11" s="20" t="str">
        <x:v>拆分授权事实，不仅用存证状态放行</x:v>
      </x:c>
      <x:c r="D11" s="20" t="str">
        <x:v>V3原推荐见原始32项</x:v>
      </x:c>
      <x:c r="E11" s="20" t="str">
        <x:v>把身份核验、脸声同意、用途许可、证据、期限/撤回、模型可用性分别记录；页面可汇总授权状态，不用单一“已存证”判断一切。</x:v>
      </x:c>
      <x:c r="F11" s="20" t="str">
        <x:v>实名认证、证据保存和使用权是不同事实；存证不能治愈无权授权。</x:v>
      </x:c>
      <x:c r="G11" s="20" t="str">
        <x:v>研究暂定，非会议已通过</x:v>
      </x:c>
      <x:c r="H11" s="20" t="str">
        <x:v>仅新设计；已有真实订单需另审</x:v>
      </x:c>
      <x:c r="I11" s="20" t="str">
        <x:v>2026-09-20</x:v>
      </x:c>
      <x:c r="J11" s="20" t="str">
        <x:v>未生产发布</x:v>
      </x:c>
    </x:row>
    <x:row r="12" ht="132" customHeight="1">
      <x:c r="A12" s="20" t="str">
        <x:v>CR-20260920-006</x:v>
      </x:c>
      <x:c r="B12" s="20" t="str">
        <x:v>REQ-022</x:v>
      </x:c>
      <x:c r="C12" s="20" t="str">
        <x:v>基础合法模板从P1前移P0</x:v>
      </x:c>
      <x:c r="D12" s="20" t="str">
        <x:v>V3原推荐见原始32项</x:v>
      </x:c>
      <x:c r="E12" s="20" t="str">
        <x:v>P0先采购/签约3个可重复使用的故事框架，留存修改、AI处理、私人成片交付许可；AI只辅助润色；项目稿版本不覆盖模板。</x:v>
      </x:c>
      <x:c r="F12" s="20" t="str">
        <x:v>模板是P0生产必需，不宜因表中分期P1而不检查版权。</x:v>
      </x:c>
      <x:c r="G12" s="20" t="str">
        <x:v>研究暂定，非会议已通过</x:v>
      </x:c>
      <x:c r="H12" s="20" t="str">
        <x:v>仅新设计；已有真实订单需另审</x:v>
      </x:c>
      <x:c r="I12" s="20" t="str">
        <x:v>2026-09-20</x:v>
      </x:c>
      <x:c r="J12" s="20" t="str">
        <x:v>未生产发布</x:v>
      </x:c>
    </x:row>
    <x:row r="13" ht="132" customHeight="1">
      <x:c r="A13" s="20" t="str">
        <x:v>CR-20260920-007</x:v>
      </x:c>
      <x:c r="B13" s="20" t="str">
        <x:v>REQ-024</x:v>
      </x:c>
      <x:c r="C13" s="20" t="str">
        <x:v>已付款订单不允许直接后台改业务类别</x:v>
      </x:c>
      <x:c r="D13" s="20" t="str">
        <x:v>V3原推荐见原始32项</x:v>
      </x:c>
      <x:c r="E13" s="20" t="str">
        <x:v>下单前区分私人定制、商业委托、发行项目；付款/授权后不允许后台直接改类，需新报价、新授权或关联新项目。</x:v>
      </x:c>
      <x:c r="F13" s="20" t="str">
        <x:v>改类别会同时改变交付、税费、权限和支付路径。</x:v>
      </x:c>
      <x:c r="G13" s="20" t="str">
        <x:v>研究暂定，非会议已通过</x:v>
      </x:c>
      <x:c r="H13" s="20" t="str">
        <x:v>仅新设计；已有真实订单需另审</x:v>
      </x:c>
      <x:c r="I13" s="20" t="str">
        <x:v>2026-09-20</x:v>
      </x:c>
      <x:c r="J13" s="20" t="str">
        <x:v>未生产发布</x:v>
      </x:c>
    </x:row>
    <x:row r="14" ht="132" customHeight="1">
      <x:c r="A14" s="20" t="str">
        <x:v>CR-20260920-008</x:v>
      </x:c>
      <x:c r="B14" s="20" t="str">
        <x:v>REQ-025</x:v>
      </x:c>
      <x:c r="C14" s="20" t="str">
        <x:v>不在P0公开发行申请空入口</x:v>
      </x:c>
      <x:c r="D14" s="20" t="str">
        <x:v>V3原推荐见原始32项</x:v>
      </x:c>
      <x:c r="E14" s="20" t="str">
        <x:v>P0不提供可点击的发行申请或竞拍入口；仅保留内部关联位置。开放发行时另建申请/授权与审核流程。</x:v>
      </x:c>
      <x:c r="F14" s="20" t="str">
        <x:v>空入口不增加闭环价值，还可能误导用户或审查。</x:v>
      </x:c>
      <x:c r="G14" s="20" t="str">
        <x:v>研究暂定，非会议已通过</x:v>
      </x:c>
      <x:c r="H14" s="20" t="str">
        <x:v>仅新设计；已有真实订单需另审</x:v>
      </x:c>
      <x:c r="I14" s="20" t="str">
        <x:v>2026-09-20</x:v>
      </x:c>
      <x:c r="J14" s="20" t="str">
        <x:v>未生产发布</x:v>
      </x:c>
    </x:row>
    <x:row r="15" ht="132" customHeight="1">
      <x:c r="A15" s="20" t="str">
        <x:v>CR-20260920-009</x:v>
      </x:c>
      <x:c r="B15" s="20" t="str">
        <x:v>REQ-015</x:v>
      </x:c>
      <x:c r="C15" s="20" t="str">
        <x:v>资质从笼统必办改为逐项适用性核验</x:v>
      </x:c>
      <x:c r="D15" s="20" t="str">
        <x:v>V3原推荐见原始32项</x:v>
      </x:c>
      <x:c r="E15" s="20" t="str">
        <x:v>北京主体、域名、App名称/签名、软著、APP备案、商店账号并行准备；经营许可、等保级别、跨境数据等按实际功能逐项判断。</x:v>
      </x:c>
      <x:c r="F15" s="20" t="str">
        <x:v>公司成立、登记材料准备与正式准入是不同进度。</x:v>
      </x:c>
      <x:c r="G15" s="20" t="str">
        <x:v>研究暂定，非会议已通过</x:v>
      </x:c>
      <x:c r="H15" s="20" t="str">
        <x:v>仅新设计；已有真实订单需另审</x:v>
      </x:c>
      <x:c r="I15" s="20" t="str">
        <x:v>2026-09-20</x:v>
      </x:c>
      <x:c r="J15" s="20" t="str">
        <x:v>未生产发布</x:v>
      </x:c>
    </x:row>
    <x:row r="16" ht="132" customHeight="1">
      <x:c r="A16" s="20" t="str">
        <x:v>CR-20260920-010</x:v>
      </x:c>
      <x:c r="B16" s="20" t="str">
        <x:v>REQ-016</x:v>
      </x:c>
      <x:c r="C16" s="20" t="str">
        <x:v>不把二级分销视为合法保证</x:v>
      </x:c>
      <x:c r="D16" s="20" t="str">
        <x:v>V3原推荐见原始32项</x:v>
      </x:c>
      <x:c r="E16" s="20" t="str">
        <x:v>P0无分销；P1首发仍不做多层团队佣金，必要时仅考虑真实成交的直接推广服务费，单独合规审查。</x:v>
      </x:c>
      <x:c r="F16" s="20" t="str">
        <x:v>层数不是合法性唯一标准，不能把二级当安全通行证。</x:v>
      </x:c>
      <x:c r="G16" s="20" t="str">
        <x:v>研究暂定，非会议已通过</x:v>
      </x:c>
      <x:c r="H16" s="20" t="str">
        <x:v>仅新设计；已有真实订单需另审</x:v>
      </x:c>
      <x:c r="I16" s="20" t="str">
        <x:v>2026-09-20</x:v>
      </x:c>
      <x:c r="J16" s="20" t="str">
        <x:v>未生产发布</x:v>
      </x:c>
    </x:row>
  </x:sheetData>
  <x:mergeCells>
    <x:mergeCell ref="A1:J2"/>
    <x:mergeCell ref="A3:J4"/>
  </x:mergeCells>
  <x:pageMargins left="0.7" right="0.7" top="0.75" bottom="0.75" header="0.3" footer="0.3"/>
  <x:tableParts count="1">
    <x:tablePart xmlns:r="http://schemas.openxmlformats.org/officeDocument/2006/relationships" r:id="Ra67eba65aa53460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0" hidden="0" customWidth="1"/>
    <x:col min="3" max="3" width="26" hidden="0" customWidth="1"/>
    <x:col min="4" max="4" width="52" hidden="0" customWidth="1"/>
    <x:col min="5" max="5" width="26" hidden="0" customWidth="1"/>
    <x:col min="6" max="6" width="42" hidden="0" customWidth="1"/>
    <x:col min="7" max="7" width="48" hidden="0" customWidth="1"/>
  </x:cols>
  <x:sheetData>
    <x:row r="1" ht="24" customHeight="1">
      <x:c r="A1" s="8" t="str">
        <x:v>现实条件核验｜不能用配置开关替代证据</x:v>
      </x:c>
      <x:c r="B1" s="8"/>
      <x:c r="C1" s="8"/>
      <x:c r="D1" s="8"/>
      <x:c r="E1" s="8"/>
      <x:c r="F1" s="8"/>
      <x:c r="G1" s="8"/>
    </x:row>
    <x:row r="2" ht="24" customHeight="1">
      <x:c r="A2" s="8"/>
      <x:c r="B2" s="8"/>
      <x:c r="C2" s="8"/>
      <x:c r="D2" s="8"/>
      <x:c r="E2" s="8"/>
      <x:c r="F2" s="8"/>
      <x:c r="G2" s="8"/>
    </x:row>
    <x:row r="3" ht="22" customHeight="1">
      <x:c r="A3" s="15" t="str">
        <x:v>这里记录资料、产品权限、主体、真实付款与上架证据。不记录账号密码、密钥或证件原件；凭证通过受控渠道交接。</x:v>
      </x:c>
      <x:c r="B3" s="15"/>
      <x:c r="C3" s="15"/>
      <x:c r="D3" s="15"/>
      <x:c r="E3" s="15"/>
      <x:c r="F3" s="15"/>
      <x:c r="G3" s="15"/>
    </x:row>
    <x:row r="4" ht="22" customHeight="1">
      <x:c r="A4" s="15"/>
      <x:c r="B4" s="15"/>
      <x:c r="C4" s="15"/>
      <x:c r="D4" s="15"/>
      <x:c r="E4" s="15"/>
      <x:c r="F4" s="15"/>
      <x:c r="G4" s="15"/>
    </x:row>
    <x:row r="5">
      <x:c r="A5" s="4"/>
      <x:c r="B5" s="4"/>
      <x:c r="C5" s="4"/>
      <x:c r="D5" s="4"/>
      <x:c r="E5" s="4"/>
      <x:c r="F5" s="4"/>
      <x:c r="G5" s="4"/>
    </x:row>
    <x:row r="6" ht="34" customHeight="1">
      <x:c r="A6" s="24" t="str">
        <x:v>编号</x:v>
      </x:c>
      <x:c r="B6" s="24" t="str">
        <x:v>外部事项</x:v>
      </x:c>
      <x:c r="C6" s="24" t="str">
        <x:v>关联需求</x:v>
      </x:c>
      <x:c r="D6" s="24" t="str">
        <x:v>需要取得的事实/材料</x:v>
      </x:c>
      <x:c r="E6" s="24" t="str">
        <x:v>当前状态</x:v>
      </x:c>
      <x:c r="F6" s="24" t="str">
        <x:v>影响范围</x:v>
      </x:c>
      <x:c r="G6" s="24" t="str">
        <x:v>未取得时可做什么</x:v>
      </x:c>
    </x:row>
    <x:row r="7" ht="100" customHeight="1">
      <x:c r="A7" s="20" t="str">
        <x:v>EXT-01</x:v>
      </x:c>
      <x:c r="B7" s="20" t="str">
        <x:v>正式主体与名称</x:v>
      </x:c>
      <x:c r="C7" s="20" t="str">
        <x:v>REQ-033;V3-B6</x:v>
      </x:c>
      <x:c r="D7" s="20" t="str">
        <x:v>真实营业执照、App名称/域名权属与发布身份</x:v>
      </x:c>
      <x:c r="E7" s="20" t="str">
        <x:v>资料未核验</x:v>
      </x:c>
      <x:c r="F7" s="20" t="str">
        <x:v>阻断正式商户/备案/上架</x:v>
      </x:c>
      <x:c r="G7" s="20" t="str">
        <x:v>可用明确测试主体设计，不可代填真实公司名称</x:v>
      </x:c>
    </x:row>
    <x:row r="8" ht="100" customHeight="1">
      <x:c r="A8" s="20" t="str">
        <x:v>EXT-02</x:v>
      </x:c>
      <x:c r="B8" s="20" t="str">
        <x:v>火山长期真人能力</x:v>
      </x:c>
      <x:c r="C8" s="20" t="str">
        <x:v>REQ-039;V3-A7</x:v>
      </x:c>
      <x:c r="D8" s="20" t="str">
        <x:v>具体产品、账户权限、用途许可、同一资产多次生成/撤回实测</x:v>
      </x:c>
      <x:c r="E8" s="20" t="str">
        <x:v>资料未核验</x:v>
      </x:c>
      <x:c r="F8" s="20" t="str">
        <x:v>阻断相应真实数字人功能</x:v>
      </x:c>
      <x:c r="G8" s="20" t="str">
        <x:v>接口适配/页面可用测试任务；不得宣称已建真实模型</x:v>
      </x:c>
    </x:row>
    <x:row r="9" ht="100" customHeight="1">
      <x:c r="A9" s="20" t="str">
        <x:v>EXT-03</x:v>
      </x:c>
      <x:c r="B9" s="20" t="str">
        <x:v>阿里云身份/存储/内容审核</x:v>
      </x:c>
      <x:c r="C9" s="20" t="str">
        <x:v>V3-A6;V3-B2;REQ-041</x:v>
      </x:c>
      <x:c r="D9" s="20" t="str">
        <x:v>授权子账号、地区、认证场景、私有存储、审核和删除结果</x:v>
      </x:c>
      <x:c r="E9" s="20" t="str">
        <x:v>资料未核验</x:v>
      </x:c>
      <x:c r="F9" s="20" t="str">
        <x:v>阻断真人数据处理和正式交付</x:v>
      </x:c>
      <x:c r="G9" s="20" t="str">
        <x:v>仅合成/已同意测试素材；故障不自动批准或公开存储</x:v>
      </x:c>
    </x:row>
    <x:row r="10" ht="100" customHeight="1">
      <x:c r="A10" s="20" t="str">
        <x:v>EXT-04</x:v>
      </x:c>
      <x:c r="B10" s="20" t="str">
        <x:v>自营/撮合资金法律事实</x:v>
      </x:c>
      <x:c r="C10" s="20" t="str">
        <x:v>REQ-034;V3-A5</x:v>
      </x:c>
      <x:c r="D10" s="20" t="str">
        <x:v>销售合同、采购合同、收款与退款图、支付机构业务确认</x:v>
      </x:c>
      <x:c r="E10" s="20" t="str">
        <x:v>待商业与专业核验</x:v>
      </x:c>
      <x:c r="F10" s="20" t="str">
        <x:v>阻断真实收款</x:v>
      </x:c>
      <x:c r="G10" s="20" t="str">
        <x:v>设计保留两路径，但P0仅实施获认可的一条</x:v>
      </x:c>
    </x:row>
    <x:row r="11" ht="100" customHeight="1">
      <x:c r="A11" s="20" t="str">
        <x:v>EXT-05</x:v>
      </x:c>
      <x:c r="B11" s="20" t="str">
        <x:v>支付宝正式商户</x:v>
      </x:c>
      <x:c r="C11" s="20" t="str">
        <x:v>V3-A5</x:v>
      </x:c>
      <x:c r="D11" s="20" t="str">
        <x:v>产品签约、主体、密钥、查单、退款、真实通知及对账结果</x:v>
      </x:c>
      <x:c r="E11" s="20" t="str">
        <x:v>资料未核验</x:v>
      </x:c>
      <x:c r="F11" s="20" t="str">
        <x:v>阻断安卓真实收费</x:v>
      </x:c>
      <x:c r="G11" s="20" t="str">
        <x:v>沙箱用例不等于生产通过</x:v>
      </x:c>
    </x:row>
    <x:row r="12" ht="100" customHeight="1">
      <x:c r="A12" s="20" t="str">
        <x:v>EXT-06</x:v>
      </x:c>
      <x:c r="B12" s="20" t="str">
        <x:v>Apple收费与上架</x:v>
      </x:c>
      <x:c r="C12" s="20" t="str">
        <x:v>V3-A8</x:v>
      </x:c>
      <x:c r="D12" s="20" t="str">
        <x:v>组织账户、商品对应交付、两阶段收费适配、当前费率与审查反馈</x:v>
      </x:c>
      <x:c r="E12" s="20" t="str">
        <x:v>资料未核验</x:v>
      </x:c>
      <x:c r="F12" s="20" t="str">
        <x:v>阻断iOS收费/上架</x:v>
      </x:c>
      <x:c r="G12" s="20" t="str">
        <x:v>不通过改名称或隐藏按钮绕审核</x:v>
      </x:c>
    </x:row>
    <x:row r="13" ht="100" customHeight="1">
      <x:c r="A13" s="20" t="str">
        <x:v>EXT-07</x:v>
      </x:c>
      <x:c r="B13" s="20" t="str">
        <x:v>素材/剧本/音乐/虚拟角色许可</x:v>
      </x:c>
      <x:c r="C13" s="20" t="str">
        <x:v>V3-C5;REQ-036</x:v>
      </x:c>
      <x:c r="D13" s="20" t="str">
        <x:v>采购合同、修改/生成/用户交付范围、宣传许可</x:v>
      </x:c>
      <x:c r="E13" s="20" t="str">
        <x:v>资料未核验</x:v>
      </x:c>
      <x:c r="F13" s="20" t="str">
        <x:v>阻断对应模板上架</x:v>
      </x:c>
      <x:c r="G13" s="20" t="str">
        <x:v>无充分许可则下架，不以证据编号替代许可</x:v>
      </x:c>
    </x:row>
    <x:row r="14" ht="100" customHeight="1">
      <x:c r="A14" s="20" t="str">
        <x:v>EXT-08</x:v>
      </x:c>
      <x:c r="B14" s="20" t="str">
        <x:v>电子签与授权证据</x:v>
      </x:c>
      <x:c r="C14" s="20" t="str">
        <x:v>V3-B1;V3-B5</x:v>
      </x:c>
      <x:c r="D14" s="20" t="str">
        <x:v>合同模板、签署身份、证据导出、服务资质与删除条款</x:v>
      </x:c>
      <x:c r="E14" s="20" t="str">
        <x:v>资料未核验</x:v>
      </x:c>
      <x:c r="F14" s="20" t="str">
        <x:v>阻断未能形成有效授权的场景</x:v>
      </x:c>
      <x:c r="G14" s="20" t="str">
        <x:v>可设计留档，不显示已认证/已公证</x:v>
      </x:c>
    </x:row>
    <x:row r="15" ht="100" customHeight="1">
      <x:c r="A15" s="20" t="str">
        <x:v>EXT-09</x:v>
      </x:c>
      <x:c r="B15" s="20" t="str">
        <x:v>备案/许可/等保适用性</x:v>
      </x:c>
      <x:c r="C15" s="20" t="str">
        <x:v>V3-B4;V3-B6</x:v>
      </x:c>
      <x:c r="D15" s="20" t="str">
        <x:v>按最终功能逐项确认的适用说明、受理/批准材料</x:v>
      </x:c>
      <x:c r="E15" s="20" t="str">
        <x:v>资料未核验</x:v>
      </x:c>
      <x:c r="F15" s="20" t="str">
        <x:v>按各项实际适用性阻断</x:v>
      </x:c>
      <x:c r="G15" s="20" t="str">
        <x:v>不统一标三级/不认为全由模型商承担</x:v>
      </x:c>
    </x:row>
    <x:row r="16" ht="100" customHeight="1">
      <x:c r="A16" s="20" t="str">
        <x:v>EXT-10</x:v>
      </x:c>
      <x:c r="B16" s="20" t="str">
        <x:v>供应商成本与交付能力</x:v>
      </x:c>
      <x:c r="C16" s="20" t="str">
        <x:v>REQ-040;REQ-038</x:v>
      </x:c>
      <x:c r="D16" s="20" t="str">
        <x:v>5条完整试片、失败重试与人工工时、售后预算、采购报价</x:v>
      </x:c>
      <x:c r="E16" s="20" t="str">
        <x:v>待试制</x:v>
      </x:c>
      <x:c r="F16" s="20" t="str">
        <x:v>阻断标准售价/工期正式发布</x:v>
      </x:c>
      <x:c r="G16" s="20" t="str">
        <x:v>50%、5工作日等只能测试，不对客户宣称已能达成</x:v>
      </x:c>
    </x:row>
  </x:sheetData>
  <x:mergeCells>
    <x:mergeCell ref="A1:G2"/>
    <x:mergeCell ref="A3:G4"/>
  </x:mergeCells>
  <x:pageMargins left="0.7" right="0.7" top="0.75" bottom="0.75" header="0.3" footer="0.3"/>
  <x:tableParts count="1">
    <x:tablePart xmlns:r="http://schemas.openxmlformats.org/officeDocument/2006/relationships" r:id="R1841f244c91c424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8" hidden="0" customWidth="1"/>
    <x:col min="3" max="3" width="82" hidden="0" customWidth="1"/>
    <x:col min="4" max="4" width="20" hidden="0" customWidth="1"/>
    <x:col min="5" max="5" width="26" hidden="0" customWidth="1"/>
    <x:col min="6" max="6" width="54" hidden="0" customWidth="1"/>
  </x:cols>
  <x:sheetData>
    <x:row r="1" ht="24" customHeight="1">
      <x:c r="A1" s="8" t="str">
        <x:v>验收方法｜以真实结果替代完成声明</x:v>
      </x:c>
      <x:c r="B1" s="8"/>
      <x:c r="C1" s="8"/>
      <x:c r="D1" s="8"/>
      <x:c r="E1" s="8"/>
      <x:c r="F1" s="8"/>
    </x:row>
    <x:row r="2" ht="24" customHeight="1">
      <x:c r="A2" s="8"/>
      <x:c r="B2" s="8"/>
      <x:c r="C2" s="8"/>
      <x:c r="D2" s="8"/>
      <x:c r="E2" s="8"/>
      <x:c r="F2" s="8"/>
    </x:row>
    <x:row r="3" ht="22" customHeight="1">
      <x:c r="A3" s="15" t="str">
        <x:v>本轮仅提供验收方案，未运行工程或真实服务。执行后补日期、环境、证据位置与结论；不在台账中放敏感内容。</x:v>
      </x:c>
      <x:c r="B3" s="15"/>
      <x:c r="C3" s="15"/>
      <x:c r="D3" s="15"/>
      <x:c r="E3" s="15"/>
      <x:c r="F3" s="15"/>
    </x:row>
    <x:row r="4" ht="22" customHeight="1">
      <x:c r="A4" s="15"/>
      <x:c r="B4" s="15"/>
      <x:c r="C4" s="15"/>
      <x:c r="D4" s="15"/>
      <x:c r="E4" s="15"/>
      <x:c r="F4" s="15"/>
    </x:row>
    <x:row r="5">
      <x:c r="A5" s="4"/>
      <x:c r="B5" s="4"/>
      <x:c r="C5" s="4"/>
      <x:c r="D5" s="4"/>
      <x:c r="E5" s="4"/>
      <x:c r="F5" s="4"/>
    </x:row>
    <x:row r="6" ht="34" customHeight="1">
      <x:c r="A6" s="24" t="str">
        <x:v>验收编号</x:v>
      </x:c>
      <x:c r="B6" s="24" t="str">
        <x:v>关联需求</x:v>
      </x:c>
      <x:c r="C6" s="24" t="str">
        <x:v>验收情景与应有结果</x:v>
      </x:c>
      <x:c r="D6" s="24" t="str">
        <x:v>执行状态</x:v>
      </x:c>
      <x:c r="E6" s="24" t="str">
        <x:v>执行人/日期</x:v>
      </x:c>
      <x:c r="F6" s="24" t="str">
        <x:v>证据位置/结论</x:v>
      </x:c>
    </x:row>
    <x:row r="7" ht="92" customHeight="1">
      <x:c r="A7" s="20" t="str">
        <x:v>AC-001</x:v>
      </x:c>
      <x:c r="B7" s="20" t="str">
        <x:v>REQ-039</x:v>
      </x:c>
      <x:c r="C7" s="20" t="str">
        <x:v>同一真人完成有效授权后连续生成3部作品，能够关联同一数字人记录；无新增用途时不反复无意义采集；核验脸声一致性。</x:v>
      </x:c>
      <x:c r="D7" s="28" t="str">
        <x:v>未执行</x:v>
      </x:c>
      <x:c r="E7" s="28"/>
      <x:c r="F7" s="28"/>
    </x:row>
    <x:row r="8" ht="92" customHeight="1">
      <x:c r="A8" s="20" t="str">
        <x:v>AC-002</x:v>
      </x:c>
      <x:c r="B8" s="20" t="str">
        <x:v>REQ-006;REQ-010</x:v>
      </x:c>
      <x:c r="C8" s="20" t="str">
        <x:v>拒绝人脸/声音单独同意时不上传相应素材、不创建真实模型；声音同意独立可查。</x:v>
      </x:c>
      <x:c r="D8" s="28" t="str">
        <x:v>未执行</x:v>
      </x:c>
      <x:c r="E8" s="28"/>
      <x:c r="F8" s="28"/>
    </x:row>
    <x:row r="9" ht="92" customHeight="1">
      <x:c r="A9" s="20" t="str">
        <x:v>AC-003</x:v>
      </x:c>
      <x:c r="B9" s="20" t="str">
        <x:v>REQ-007</x:v>
      </x:c>
      <x:c r="C9" s="20" t="str">
        <x:v>未授权第三方/明星不能作为主角或配角提交；P0不能打开商单、竞拍和提现入口。</x:v>
      </x:c>
      <x:c r="D9" s="28" t="str">
        <x:v>未执行</x:v>
      </x:c>
      <x:c r="E9" s="28"/>
      <x:c r="F9" s="28"/>
    </x:row>
    <x:row r="10" ht="92" customHeight="1">
      <x:c r="A10" s="20" t="str">
        <x:v>AC-004</x:v>
      </x:c>
      <x:c r="B10" s="20" t="str">
        <x:v>REQ-001</x:v>
      </x:c>
      <x:c r="C10" s="20" t="str">
        <x:v>完整完成报价→首款→样片V1→修改V2→确认→尾款→成片→最终确认→私人收藏。</x:v>
      </x:c>
      <x:c r="D10" s="28" t="str">
        <x:v>未执行</x:v>
      </x:c>
      <x:c r="E10" s="28"/>
      <x:c r="F10" s="28"/>
    </x:row>
    <x:row r="11" ht="92" customHeight="1">
      <x:c r="A11" s="20" t="str">
        <x:v>AC-005</x:v>
      </x:c>
      <x:c r="B11" s="20" t="str">
        <x:v>REQ-001;REQ-043</x:v>
      </x:c>
      <x:c r="C11" s="20" t="str">
        <x:v>未确认样片不要求尾款；确认样片不自动标记最终成片已验收。</x:v>
      </x:c>
      <x:c r="D11" s="28" t="str">
        <x:v>未执行</x:v>
      </x:c>
      <x:c r="E11" s="28"/>
      <x:c r="F11" s="28"/>
    </x:row>
    <x:row r="12" ht="92" customHeight="1">
      <x:c r="A12" s="20" t="str">
        <x:v>AC-006</x:v>
      </x:c>
      <x:c r="B12" s="20" t="str">
        <x:v>REQ-002</x:v>
      </x:c>
      <x:c r="C12" s="20" t="str">
        <x:v>未开工取消生成全额退款申请；只有渠道确认成功才显示已退款。</x:v>
      </x:c>
      <x:c r="D12" s="28" t="str">
        <x:v>未执行</x:v>
      </x:c>
      <x:c r="E12" s="28"/>
      <x:c r="F12" s="28"/>
    </x:row>
    <x:row r="13" ht="92" customHeight="1">
      <x:c r="A13" s="20" t="str">
        <x:v>AC-007</x:v>
      </x:c>
      <x:c r="B13" s="20" t="str">
        <x:v>REQ-002;REQ-038</x:v>
      </x:c>
      <x:c r="C13" s="20" t="str">
        <x:v>错脸/错误台词/损坏文件的修正不消耗免费创意修改轮次。</x:v>
      </x:c>
      <x:c r="D13" s="28" t="str">
        <x:v>未执行</x:v>
      </x:c>
      <x:c r="E13" s="28"/>
      <x:c r="F13" s="28"/>
    </x:row>
    <x:row r="14" ht="92" customHeight="1">
      <x:c r="A14" s="20" t="str">
        <x:v>AC-008</x:v>
      </x:c>
      <x:c r="B14" s="20" t="str">
        <x:v>REQ-042</x:v>
      </x:c>
      <x:c r="C14" s="20" t="str">
        <x:v>旧单2轮修改，新配置改1轮：旧单仍有2轮；同一旧单尾款不因默认首款比例变化而重算。</x:v>
      </x:c>
      <x:c r="D14" s="28" t="str">
        <x:v>未执行</x:v>
      </x:c>
      <x:c r="E14" s="28"/>
      <x:c r="F14" s="28"/>
    </x:row>
    <x:row r="15" ht="92" customHeight="1">
      <x:c r="A15" s="20" t="str">
        <x:v>AC-009</x:v>
      </x:c>
      <x:c r="B15" s="20" t="str">
        <x:v>REQ-024;REQ-036</x:v>
      </x:c>
      <x:c r="C15" s="20" t="str">
        <x:v>私人订单不能被后台直接改为公开商用/发行；另建用途扩展记录并补确认。</x:v>
      </x:c>
      <x:c r="D15" s="28" t="str">
        <x:v>未执行</x:v>
      </x:c>
      <x:c r="E15" s="28"/>
      <x:c r="F15" s="28"/>
    </x:row>
    <x:row r="16" ht="92" customHeight="1">
      <x:c r="A16" s="20" t="str">
        <x:v>AC-010</x:v>
      </x:c>
      <x:c r="B16" s="20" t="str">
        <x:v>REQ-012</x:v>
      </x:c>
      <x:c r="C16" s="20" t="str">
        <x:v>撤回时阻断新增任务，在制任务进入待处理；保留供应商处理请求和结果，不伪造删除成功。</x:v>
      </x:c>
      <x:c r="D16" s="28" t="str">
        <x:v>未执行</x:v>
      </x:c>
      <x:c r="E16" s="28"/>
      <x:c r="F16" s="28"/>
    </x:row>
    <x:row r="17" ht="92" customHeight="1">
      <x:c r="A17" s="20" t="str">
        <x:v>AC-011</x:v>
      </x:c>
      <x:c r="B17" s="20" t="str">
        <x:v>REQ-003</x:v>
      </x:c>
      <x:c r="C17" s="20" t="str">
        <x:v>制作方仅看被分配订单与必要素材，不可修改支付、授权和客户验收结果。</x:v>
      </x:c>
      <x:c r="D17" s="28" t="str">
        <x:v>未执行</x:v>
      </x:c>
      <x:c r="E17" s="28"/>
      <x:c r="F17" s="28"/>
    </x:row>
    <x:row r="18" ht="92" customHeight="1">
      <x:c r="A18" s="20" t="str">
        <x:v>AC-012</x:v>
      </x:c>
      <x:c r="B18" s="20" t="str">
        <x:v>REQ-011;REQ-035</x:v>
      </x:c>
      <x:c r="C18" s="20" t="str">
        <x:v>导出视频保留AI显式及适用隐式标识；作品默认私人且无公开访问链接。</x:v>
      </x:c>
      <x:c r="D18" s="28" t="str">
        <x:v>未执行</x:v>
      </x:c>
      <x:c r="E18" s="28"/>
      <x:c r="F18" s="28"/>
    </x:row>
    <x:row r="19" ht="92" customHeight="1">
      <x:c r="A19" s="20" t="str">
        <x:v>AC-013</x:v>
      </x:c>
      <x:c r="B19" s="20" t="str">
        <x:v>REQ-043</x:v>
      </x:c>
      <x:c r="C19" s="20" t="str">
        <x:v>真实请求失败、重复通知、乱序结果、应用重启不产生假付款/假完成、重复生成或重复扣款。</x:v>
      </x:c>
      <x:c r="D19" s="28" t="str">
        <x:v>未执行</x:v>
      </x:c>
      <x:c r="E19" s="28"/>
      <x:c r="F19" s="28"/>
    </x:row>
    <x:row r="20" ht="92" customHeight="1">
      <x:c r="A20" s="20" t="str">
        <x:v>AC-014</x:v>
      </x:c>
      <x:c r="B20" s="20" t="str">
        <x:v>REQ-044</x:v>
      </x:c>
      <x:c r="C20" s="20" t="str">
        <x:v>价格/合同/退款/授权规则发布记录保留修改人、审批、时间、生效范围及旧版，不覆盖历史。</x:v>
      </x:c>
      <x:c r="D20" s="28" t="str">
        <x:v>未执行</x:v>
      </x:c>
      <x:c r="E20" s="28"/>
      <x:c r="F20" s="28"/>
    </x:row>
    <x:row r="21" ht="92" customHeight="1">
      <x:c r="A21" s="20" t="str">
        <x:v>AC-015</x:v>
      </x:c>
      <x:c r="B21" s="20" t="str">
        <x:v>REQ-040</x:v>
      </x:c>
      <x:c r="C21" s="20" t="str">
        <x:v>达到5单在制后停止无提示继续收单；预估等待、暂停原因和客服入口真实可见。</x:v>
      </x:c>
      <x:c r="D21" s="28" t="str">
        <x:v>未执行</x:v>
      </x:c>
      <x:c r="E21" s="28"/>
      <x:c r="F21" s="28"/>
    </x:row>
  </x:sheetData>
  <x:mergeCells>
    <x:mergeCell ref="A1:F2"/>
    <x:mergeCell ref="A3:F4"/>
  </x:mergeCells>
  <x:dataValidations count="1">
    <x:dataValidation type="list" sqref="D7:D21">
      <x:formula1>"未执行,通过,未通过,受外部条件阻塞,不适用"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03df35f4fc47f6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24" hidden="0" customWidth="1"/>
    <x:col min="4" max="4" width="38" hidden="0" customWidth="1"/>
    <x:col min="5" max="5" width="52" hidden="0" customWidth="1"/>
    <x:col min="6" max="6" width="52" hidden="0" customWidth="1"/>
    <x:col min="7" max="7" width="62" hidden="0" customWidth="1"/>
    <x:col min="8" max="8" width="22" hidden="0" customWidth="1"/>
    <x:col min="9" max="9" width="32" hidden="0" customWidth="1"/>
    <x:col min="10" max="10" width="32" hidden="0" customWidth="1"/>
    <x:col min="11" max="11" width="20" hidden="0" customWidth="1"/>
    <x:col min="12" max="12" width="18" hidden="0" customWidth="1"/>
  </x:cols>
  <x:sheetData>
    <x:row r="1" ht="24" customHeight="1">
      <x:c r="A1" s="8" t="str">
        <x:v>版本3原始底稿｜原文与原会议结果保留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</x:row>
    <x:row r="2" ht="24" customHeight="1">
      <x:c r="A2" s="8"/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3" ht="22" customHeight="1">
      <x:c r="A3" s="15" t="str">
        <x:v>来源：晶选片场_业务决策工作底稿_20260915.xlsx，决策总表A1:L33。本页仅搬运原始值，不写入本轮建议；原I2:I33共32项会议结论为空。</x:v>
      </x:c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</x:row>
    <x:row r="4" ht="22" customHeight="1">
      <x:c r="A4" s="15"/>
      <x:c r="B4" s="15"/>
      <x:c r="C4" s="15"/>
      <x:c r="D4" s="15"/>
      <x:c r="E4" s="15"/>
      <x:c r="F4" s="15"/>
      <x:c r="G4" s="15"/>
      <x:c r="H4" s="15"/>
      <x:c r="I4" s="15"/>
      <x:c r="J4" s="15"/>
      <x:c r="K4" s="15"/>
      <x:c r="L4" s="15"/>
    </x:row>
    <x:row r="5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</x:row>
    <x:row r="6" ht="34" customHeight="1">
      <x:c r="A6" s="24" t="str">
        <x:v>编号</x:v>
      </x:c>
      <x:c r="B6" s="24" t="str">
        <x:v>分期</x:v>
      </x:c>
      <x:c r="C6" s="24" t="str">
        <x:v>所属板块</x:v>
      </x:c>
      <x:c r="D6" s="24" t="str">
        <x:v>待决策问题</x:v>
      </x:c>
      <x:c r="E6" s="24" t="str">
        <x:v>为什么要定（背景/影响）</x:v>
      </x:c>
      <x:c r="F6" s="24" t="str">
        <x:v>备选方案</x:v>
      </x:c>
      <x:c r="G6" s="24" t="str">
        <x:v>★推荐方案（含默认值，可改）</x:v>
      </x:c>
      <x:c r="H6" s="24" t="str">
        <x:v>影响端</x:v>
      </x:c>
      <x:c r="I6" s="24" t="str">
        <x:v>会议结论
(同意推荐/改为…/暂缓)</x:v>
      </x:c>
      <x:c r="J6" s="24" t="str">
        <x:v>补充约定</x:v>
      </x:c>
      <x:c r="K6" s="24" t="str">
        <x:v>负责人</x:v>
      </x:c>
      <x:c r="L6" s="24" t="str">
        <x:v>截止</x:v>
      </x:c>
    </x:row>
    <x:row r="7" ht="160" customHeight="1">
      <x:c r="A7" s="20" t="str">
        <x:v>A1</x:v>
      </x:c>
      <x:c r="B7" s="20" t="str">
        <x:v>P0</x:v>
      </x:c>
      <x:c r="C7" s="20" t="str">
        <x:v>入戏·定制六步</x:v>
      </x:c>
      <x:c r="D7" s="20" t="str">
        <x:v>定制六步的关键数值：首款比例、样片时长、免费修改轮次、向导规则</x:v>
      </x:c>
      <x:c r="E7" s="20" t="str">
        <x:v>订单与价格引擎的初始参数，不定则前后端无法开工；样片确认+尾款是整条主链路的核心</x:v>
      </x:c>
      <x:c r="F7" s="20" t="str">
        <x:v>首款30%/50%/70%；样片30-60秒或60-120秒；免费修改1/2/3轮；向导可否跳步</x:v>
      </x:c>
      <x:c r="G7" s="20" t="str">
        <x:v>首款50%（可选30/50/70，后台可配）；标准档样片30-60秒、高端档60-120秒，样片加水印预览、不交付成片；样片阶段免费改2轮，第3轮起按成本收费，每轮反馈期48小时、逾期人工提醒（不自动确认）；向导可回改、不可跳步，改档次/陪演/主题等影响成本项时实时重算并二次确认</x:v>
      </x:c>
      <x:c r="H7" s="20" t="str">
        <x:v>C端App/订单引擎/运营后台/制作后台</x:v>
      </x:c>
      <x:c r="I7" s="34"/>
      <x:c r="J7" s="34"/>
      <x:c r="K7" s="34"/>
      <x:c r="L7" s="34"/>
    </x:row>
    <x:row r="8" ht="160" customHeight="1">
      <x:c r="A8" s="20" t="str">
        <x:v>A2</x:v>
      </x:c>
      <x:c r="B8" s="20" t="str">
        <x:v>P0</x:v>
      </x:c>
      <x:c r="C8" s="20" t="str">
        <x:v>订单·退款</x:v>
      </x:c>
      <x:c r="D8" s="20" t="str">
        <x:v>分阶段退款规则（首款后、制作中、样片后、尾款后、交付后分别怎么退）</x:v>
      </x:c>
      <x:c r="E8" s="20" t="str">
        <x:v>直接关系资金安全与客诉纠纷，必须在下单页和电子合同里写清</x:v>
      </x:c>
      <x:c r="F8" s="20" t="str">
        <x:v>①任何阶段不退 ②随时全额退 ③按阶段区别处理</x:v>
      </x:c>
      <x:c r="G8" s="20" t="str">
        <x:v>采用③分阶段：①付首款未开工=全额退（扣支付通道费）；②已开工未出样片=按进度扣已发生成本后退余款；③样片交付不满意=先走2轮免费修改，改后仍不接受则退首款、最多扣约30%刚性成本；④样片确认并付尾款后=不支持无因退款，质量问题走争议仲裁；⑤成品交付后=仅质量不符可争议。规则写入下单页与电子合同</x:v>
      </x:c>
      <x:c r="H8" s="20" t="str">
        <x:v>订单/支付/客服/法务</x:v>
      </x:c>
      <x:c r="I8" s="34"/>
      <x:c r="J8" s="34"/>
      <x:c r="K8" s="34"/>
      <x:c r="L8" s="34"/>
    </x:row>
    <x:row r="9" ht="160" customHeight="1">
      <x:c r="A9" s="20" t="str">
        <x:v>A3</x:v>
      </x:c>
      <x:c r="B9" s="20" t="str">
        <x:v>P0</x:v>
      </x:c>
      <x:c r="C9" s="20" t="str">
        <x:v>供给·制作</x:v>
      </x:c>
      <x:c r="D9" s="20" t="str">
        <x:v>P0 制作供给模式，以及“制作侧在哪交付”（新稿状态机有制作方却无操作面）</x:v>
      </x:c>
      <x:c r="E9" s="20" t="str">
        <x:v>状态机里有接单/传样片/传成片，但 P0 不做 B 端，缺一个交付界面闭环就断了</x:v>
      </x:c>
      <x:c r="F9" s="20" t="str">
        <x:v>①P0即开放外部制作/导演入驻 ②平台自营/签约班底+极简交付后台 ③全人工线下对接</x:v>
      </x:c>
      <x:c r="G9" s="20" t="str">
        <x:v>采用②：P0 制作走平台自营或签约班底，配一个极简“制作交付后台”（接单/传样片/传成片/回传进度），不开放外部入驻；样片与成片 P0 以 AI 生成+人工监制为主（火山模型）以降本；外部制作/导演入驻放 P1，高端一对一放 P2</x:v>
      </x:c>
      <x:c r="H9" s="20" t="str">
        <x:v>制作后台/生产/成本</x:v>
      </x:c>
      <x:c r="I9" s="34"/>
      <x:c r="J9" s="34"/>
      <x:c r="K9" s="34"/>
      <x:c r="L9" s="34"/>
    </x:row>
    <x:row r="10" ht="160" customHeight="1">
      <x:c r="A10" s="20" t="str">
        <x:v>A4</x:v>
      </x:c>
      <x:c r="B10" s="20" t="str">
        <x:v>P0</x:v>
      </x:c>
      <x:c r="C10" s="20" t="str">
        <x:v>资金·分账</x:v>
      </x:c>
      <x:c r="D10" s="20" t="str">
        <x:v>一笔定制费如何分账（新稿账本只有平台/主理人/MCN，缺制作方与陪演）</x:v>
      </x:c>
      <x:c r="E10" s="20" t="str">
        <x:v>不把分账对象补全，用户付的钱无法合规分到做片子的人和陪演数字人，闭环是断的</x:v>
      </x:c>
      <x:c r="F10" s="20" t="str">
        <x:v>①只记平台收入、线下再结算 ②建立多方分账明细结构</x:v>
      </x:c>
      <x:c r="G10" s="20" t="str">
        <x:v>采用②：用户实付 = 制作成本(平台/制作方)+陪演费(陪演主理人/MCN)+付费剧本框架费+平台服务费(抽佣)+第三方通道费；制作方 P0 按“平台采购成本”内部结算、不进 C 端钱包；陪演费按 SKU 定价、验收后入陪演方可结算余额；抽佣默认20%、区间15-30%可配（最终值在 C1 拍）</x:v>
      </x:c>
      <x:c r="H10" s="20" t="str">
        <x:v>支付分账/钱包/订单/财务</x:v>
      </x:c>
      <x:c r="I10" s="34"/>
      <x:c r="J10" s="34"/>
      <x:c r="K10" s="34"/>
      <x:c r="L10" s="34"/>
    </x:row>
    <x:row r="11" ht="160" customHeight="1">
      <x:c r="A11" s="20" t="str">
        <x:v>A5</x:v>
      </x:c>
      <x:c r="B11" s="20" t="str">
        <x:v>P0</x:v>
      </x:c>
      <x:c r="C11" s="20" t="str">
        <x:v>资金·合规</x:v>
      </x:c>
      <x:c r="D11" s="20" t="str">
        <x:v>资金合规路径，防范“二清”（无证清分资金）</x:v>
      </x:c>
      <x:c r="E11" s="20" t="str">
        <x:v>钱先进平台账户、验收后再分给个人，若无持牌分账/存管即涉二清，是与“众筹”同级的金融红线</x:v>
      </x:c>
      <x:c r="F11" s="20" t="str">
        <x:v>①自建钱包资金池 ②持牌支付机构担保交易+分账 ③银行存管受托支付</x:v>
      </x:c>
      <x:c r="G11" s="20" t="str">
        <x:v>采用②或③：不自建资金池、不无证清分；接入持牌支付机构（支付宝/微信）担保交易+分账或银行存管受托支付，钱进监管/担保户、验收后由持牌方按平台指令分账，平台只下指令、不动资金；提现走持牌方代发；P0 由财务/法务敲定合作机构</x:v>
      </x:c>
      <x:c r="H11" s="20" t="str">
        <x:v>支付/财务/法务</x:v>
      </x:c>
      <x:c r="I11" s="34"/>
      <x:c r="J11" s="34"/>
      <x:c r="K11" s="34"/>
      <x:c r="L11" s="34"/>
    </x:row>
    <x:row r="12" ht="160" customHeight="1">
      <x:c r="A12" s="20" t="str">
        <x:v>A6</x:v>
      </x:c>
      <x:c r="B12" s="20" t="str">
        <x:v>P0</x:v>
      </x:c>
      <x:c r="C12" s="20" t="str">
        <x:v>合规·确权</x:v>
      </x:c>
      <x:c r="D12" s="20" t="str">
        <x:v>人脸/声音确权的触发节奏（避免 P0 一注册就被重确权压垮转化）</x:v>
      </x:c>
      <x:c r="E12" s="20" t="str">
        <x:v>创建即强制电子签存证会压垮注册转化；全不做则一商用就违规，需分级</x:v>
      </x:c>
      <x:c r="F12" s="20" t="str">
        <x:v>①创建即全量强确权 ②仅在商用动作前触发（分级闸门）③完全不做</x:v>
      </x:c>
      <x:c r="G12" s="20" t="str">
        <x:v>采用②分级：创建数字人/自娱仅需手机号实名+敏感信息采集告知+AI标识（轻，不强制电子签/存证）；一旦触发商用动作（发布商单/被选陪演/角色竞拍/申请发行/使用他人形象）即强制“单独同意+电子授权书+上链存证”达到 EVIDENCED 才放行（商用闸门，由授权状态机驱动）</x:v>
      </x:c>
      <x:c r="H12" s="20" t="str">
        <x:v>合规/账号/授权链/各业务线</x:v>
      </x:c>
      <x:c r="I12" s="34"/>
      <x:c r="J12" s="34"/>
      <x:c r="K12" s="34"/>
      <x:c r="L12" s="34"/>
    </x:row>
    <x:row r="13" ht="160" customHeight="1">
      <x:c r="A13" s="20" t="str">
        <x:v>A7</x:v>
      </x:c>
      <x:c r="B13" s="20" t="str">
        <x:v>P0</x:v>
      </x:c>
      <x:c r="C13" s="20" t="str">
        <x:v>合规·数字人</x:v>
      </x:c>
      <x:c r="D13" s="20" t="str">
        <x:v>三类数字人分别能做哪些动作（类型×动作开放矩阵）</x:v>
      </x:c>
      <x:c r="E13" s="20" t="str">
        <x:v>纯虚拟/本人1:1/他人·明星风险等级不同，必须一张表说清能做与不能做（详见“开放矩阵”页）</x:v>
      </x:c>
      <x:c r="F13" s="20" t="str">
        <x:v>见“数字人开放矩阵”工作表</x:v>
      </x:c>
      <x:c r="G13" s="20" t="str">
        <x:v>采用“开放矩阵”页：纯虚拟可自娱/商单（过审），陪演与发行需更严内容审核且不得指向真人；本人1:1未确权仅可自娱、其余动作引导先确权，已存证后全开放；他人/明星无授权全禁、授权+存证后在授权范围内开放、高价值与发行加公证；一张真人脸可建多个数字人但共用一次真人确权、每个数字人单独做业务授权</x:v>
      </x:c>
      <x:c r="H13" s="20" t="str">
        <x:v>合规/数字人/各业务线</x:v>
      </x:c>
      <x:c r="I13" s="34"/>
      <x:c r="J13" s="34"/>
      <x:c r="K13" s="34"/>
      <x:c r="L13" s="34"/>
    </x:row>
    <x:row r="14" ht="160" customHeight="1">
      <x:c r="A14" s="20" t="str">
        <x:v>A8</x:v>
      </x:c>
      <x:c r="B14" s="20" t="str">
        <x:v>P0</x:v>
      </x:c>
      <x:c r="C14" s="20" t="str">
        <x:v>支付·iOS</x:v>
      </x:c>
      <x:c r="D14" s="20" t="str">
        <x:v>iOS 内购(IAP)与第三方支付的分界（新稿通篇支付却遗漏，必须捡回）</x:v>
      </x:c>
      <x:c r="E14" s="20" t="str">
        <x:v>错走通道会被苹果拒审并承担30%抽成，影响上架与定价</x:v>
      </x:c>
      <x:c r="F14" s="20" t="str">
        <x:v>①全部走第三方支付 ②全部走 IAP ③按交付形态区分</x:v>
      </x:c>
      <x:c r="G14" s="20" t="str">
        <x:v>采用③：纯线上数字内容（AI定制视频/数字人服务/角色/陪演/数字交付商单）iOS 走 IAP；现实线下服务、对公企业项目、钱包提现不走 IAP（走第三方/线下）；不在 iOS 内收竞拍保证金；产出《iOS 商品与付款方式清单》，IAP 定价含30%成本，不靠改名规避审核</x:v>
      </x:c>
      <x:c r="H14" s="20" t="str">
        <x:v>支付/iOS/定价/法务</x:v>
      </x:c>
      <x:c r="I14" s="34"/>
      <x:c r="J14" s="34"/>
      <x:c r="K14" s="34"/>
      <x:c r="L14" s="34"/>
    </x:row>
    <x:row r="15" ht="160" customHeight="1">
      <x:c r="A15" s="20" t="str">
        <x:v>A9</x:v>
      </x:c>
      <x:c r="B15" s="20" t="str">
        <x:v>P0</x:v>
      </x:c>
      <x:c r="C15" s="20" t="str">
        <x:v>信息架构</x:v>
      </x:c>
      <x:c r="D15" s="20" t="str">
        <x:v>底部导航结构与“对内自娱/对外发行”两线隔离</x:v>
      </x:c>
      <x:c r="E15" s="20" t="str">
        <x:v>两条业务线审核口径完全不同，混在一条流里会串口径、踩合规</x:v>
      </x:c>
      <x:c r="F15" s="20" t="str">
        <x:v>①5Tab（首页/入戏/培育/成角/我的）②4Tab把成角并入 ③单流瀑布</x:v>
      </x:c>
      <x:c r="G15" s="20" t="str">
        <x:v>采用①5Tab：首页/入戏/培育/成角/我的；成角独立成 Tab，对内/对外两线物理隔离，切换时有明确提示与不同审核标识</x:v>
      </x:c>
      <x:c r="H15" s="20" t="str">
        <x:v>C端App/信息架构</x:v>
      </x:c>
      <x:c r="I15" s="34"/>
      <x:c r="J15" s="34"/>
      <x:c r="K15" s="34"/>
      <x:c r="L15" s="34"/>
    </x:row>
    <x:row r="16" ht="160" customHeight="1">
      <x:c r="A16" s="20" t="str">
        <x:v>B1</x:v>
      </x:c>
      <x:c r="B16" s="20" t="str">
        <x:v>P0</x:v>
      </x:c>
      <x:c r="C16" s="20" t="str">
        <x:v>合规·授权</x:v>
      </x:c>
      <x:c r="D16" s="20" t="str">
        <x:v>单独同意 + 电子授权书 + 授权状态机如何落地</x:v>
      </x:c>
      <x:c r="E16" s="20" t="str">
        <x:v>人脸声纹属敏感个人信息，商用须先授权后建模、可撤回、全程留痕</x:v>
      </x:c>
      <x:c r="F16" s="20" t="str">
        <x:v>①自建授权文本与签署 ②接入持牌电子签 ③纸质/线下签署</x:v>
      </x:c>
      <x:c r="G16" s="20" t="str">
        <x:v>采用②：接 1 家持牌电子签（e签宝/法大大/上上签/腾讯电子签选一）；独立弹窗逐项告知用途/范围/期限/撤回方式，必须本人操作、不可代签，授权书版本全程留痕；用授权9态状态机驱动商用闸门</x:v>
      </x:c>
      <x:c r="H16" s="20" t="str">
        <x:v>合规/账号/授权链</x:v>
      </x:c>
      <x:c r="I16" s="34"/>
      <x:c r="J16" s="34"/>
      <x:c r="K16" s="34"/>
      <x:c r="L16" s="34"/>
    </x:row>
    <x:row r="17" ht="160" customHeight="1">
      <x:c r="A17" s="20" t="str">
        <x:v>B2</x:v>
      </x:c>
      <x:c r="B17" s="20" t="str">
        <x:v>P0</x:v>
      </x:c>
      <x:c r="C17" s="20" t="str">
        <x:v>合规·AI标识</x:v>
      </x:c>
      <x:c r="D17" s="20" t="str">
        <x:v>AI 生成内容的显式+隐式标识</x:v>
      </x:c>
      <x:c r="E17" s="20" t="str">
        <x:v>《AI生成合成内容标识办法》强制要求，不标识即违规</x:v>
      </x:c>
      <x:c r="F17" s="20" t="str">
        <x:v>①仅成片加角标 ②角标+片头+文件元数据 ③不标识</x:v>
      </x:c>
      <x:c r="G17" s="20" t="str">
        <x:v>采用②：数字人展示区常驻“AI生成”角标且不可关闭；成片起始3秒+全程角落显式标识，文件元数据写入隐式标识；不提供去标识导出</x:v>
      </x:c>
      <x:c r="H17" s="20" t="str">
        <x:v>C端/生产/合规</x:v>
      </x:c>
      <x:c r="I17" s="34"/>
      <x:c r="J17" s="34"/>
      <x:c r="K17" s="34"/>
      <x:c r="L17" s="34"/>
    </x:row>
    <x:row r="18" ht="160" customHeight="1">
      <x:c r="A18" s="20" t="str">
        <x:v>B3</x:v>
      </x:c>
      <x:c r="B18" s="20" t="str">
        <x:v>P0</x:v>
      </x:c>
      <x:c r="C18" s="20" t="str">
        <x:v>合规·撤回</x:v>
      </x:c>
      <x:c r="D18" s="20" t="str">
        <x:v>授权到期提醒、撤回与删除的处理口径</x:v>
      </x:c>
      <x:c r="E18" s="20" t="str">
        <x:v>撤回是法定权利，但在制订单、已交付、已发行作品如何处理必须事先定清</x:v>
      </x:c>
      <x:c r="F18" s="20" t="str">
        <x:v>①撤回即全删全停 ②撤回完全不溯及既往 ③分场景处理</x:v>
      </x:c>
      <x:c r="G18" s="20" t="str">
        <x:v>采用③：到期前30/7/1天三次提醒；撤回不溯及撤回前已成立交易、但停止接新单；在制订单按 A2 退款规则处理；已交付成品可要求删除其数字人、停止再生成，不强制追回对方已持作品但停止商业再用；已发行作品授权期内合法保留、期满下架，涉侵权依法处理；撤回后删除人脸声纹原始素材、注销数字人，仅保留操作日志（不留生物数据）。具体措辞由法务定稿</x:v>
      </x:c>
      <x:c r="H18" s="20" t="str">
        <x:v>合规/账号/订单/发行/法务</x:v>
      </x:c>
      <x:c r="I18" s="34"/>
      <x:c r="J18" s="34"/>
      <x:c r="K18" s="34"/>
      <x:c r="L18" s="34"/>
    </x:row>
    <x:row r="19" ht="160" customHeight="1">
      <x:c r="A19" s="20" t="str">
        <x:v>B4</x:v>
      </x:c>
      <x:c r="B19" s="20" t="str">
        <x:v>P0</x:v>
      </x:c>
      <x:c r="C19" s="20" t="str">
        <x:v>合规·备案</x:v>
      </x:c>
      <x:c r="D19" s="20" t="str">
        <x:v>应用侧算法备案/生成式AI服务登记 + 安全评估</x:v>
      </x:c>
      <x:c r="E19" s="20" t="str">
        <x:v>有公开展示/UGC/短剧发行通常被认定具舆论属性，需登记与安评</x:v>
      </x:c>
      <x:c r="F19" s="20" t="str">
        <x:v>①认为只调API无需备案 ②以运营主体做简化登记+安评 ③等被要求再办</x:v>
      </x:c>
      <x:c r="G19" s="20" t="str">
        <x:v>采用②：规划期即以运营主体（晶晶日上北京数字科技有限公司）启动算法/生成式AI服务简化登记与安全评估；向火山索取模型名、算法备案号、生成式AI备案号与数据条款；APP 显著位置公示所用模型与编号</x:v>
      </x:c>
      <x:c r="H19" s="20" t="str">
        <x:v>法务/合规/资质</x:v>
      </x:c>
      <x:c r="I19" s="34"/>
      <x:c r="J19" s="34"/>
      <x:c r="K19" s="34"/>
      <x:c r="L19" s="34"/>
    </x:row>
    <x:row r="20" ht="160" customHeight="1">
      <x:c r="A20" s="20" t="str">
        <x:v>B5</x:v>
      </x:c>
      <x:c r="B20" s="20" t="str">
        <x:v>P0</x:v>
      </x:c>
      <x:c r="C20" s="20" t="str">
        <x:v>合规·服务商</x:v>
      </x:c>
      <x:c r="D20" s="20" t="str">
        <x:v>确权服务商选型与成本由谁承担</x:v>
      </x:c>
      <x:c r="E20" s="20" t="str">
        <x:v>登记/公证/电子签只能接持牌机构，平台不得自发证、自公证、自建CA</x:v>
      </x:c>
      <x:c r="F20" s="20" t="str">
        <x:v>①全部自建 ②全部接第三方 ③基础接第三方+增值用户付费</x:v>
      </x:c>
      <x:c r="G20" s="20" t="str">
        <x:v>采用③：P0 先接 1 家电子签 + 1 家司法链/版权链存证；基础档（电子签+一次存证，单件个位数元）由平台承担或计入获客/制作成本；DCI/著作权登记/公证作为增值服务由用户自费，官费与服务费分列、明示是否加价；不自建 CA、不自发证</x:v>
      </x:c>
      <x:c r="H20" s="20" t="str">
        <x:v>合规/财务/采购</x:v>
      </x:c>
      <x:c r="I20" s="34"/>
      <x:c r="J20" s="34"/>
      <x:c r="K20" s="34"/>
      <x:c r="L20" s="34"/>
    </x:row>
    <x:row r="21" ht="160" customHeight="1">
      <x:c r="A21" s="20" t="str">
        <x:v>B6</x:v>
      </x:c>
      <x:c r="B21" s="20" t="str">
        <x:v>P0</x:v>
      </x:c>
      <x:c r="C21" s="20" t="str">
        <x:v>合规·资质</x:v>
      </x:c>
      <x:c r="D21" s="20" t="str">
        <x:v>公司资质与证照办理时序</x:v>
      </x:c>
      <x:c r="E21" s="20" t="str">
        <x:v>人脸声纹+证据系统+经营性业务涉及多项前置资质，顺序错会卡上线</x:v>
      </x:c>
      <x:c r="F21" s="20" t="str">
        <x:v>需排出资质办理顺序与责任人（无替代方案，必办）</x:v>
      </x:c>
      <x:c r="G21" s="20" t="str">
        <x:v>按序推进：北京主体→经营范围增项（版权代理/知识产权服务等）→域名ICP备案（经营性涉ICP许可证）→等保三级（人脸声纹+证据系统）→持牌支付签约→电子签/存证/公证合作→（仅自建节点才需）区块链信息服务备案；软著/APP备案/应用商店上架并行；产出资质甘特图与责任人</x:v>
      </x:c>
      <x:c r="H21" s="20" t="str">
        <x:v>法务/财务/运维/上线</x:v>
      </x:c>
      <x:c r="I21" s="34"/>
      <x:c r="J21" s="34"/>
      <x:c r="K21" s="34"/>
      <x:c r="L21" s="34"/>
    </x:row>
    <x:row r="22" ht="160" customHeight="1">
      <x:c r="A22" s="20" t="str">
        <x:v>B7</x:v>
      </x:c>
      <x:c r="B22" s="20" t="str">
        <x:v>P1</x:v>
      </x:c>
      <x:c r="C22" s="20" t="str">
        <x:v>合规·分销</x:v>
      </x:c>
      <x:c r="D22" s="20" t="str">
        <x:v>MCN 分销层级与计酬红线</x:v>
      </x:c>
      <x:c r="E22" s="20" t="str">
        <x:v>三级及以上、按人头计酬涉嫌传销，是刑事风险</x:v>
      </x:c>
      <x:c r="F22" s="20" t="str">
        <x:v>①不限制层级 ②最多二级、只按实际交易分成</x:v>
      </x:c>
      <x:c r="G22" s="20" t="str">
        <x:v>采用②：最多二级（直接+一级带量），严禁三级及以上团队计酬、严禁按人头/拉新计酬，只按实际交易分成，分成比例上限后台可配</x:v>
      </x:c>
      <x:c r="H22" s="20" t="str">
        <x:v>MCN/分账/法务</x:v>
      </x:c>
      <x:c r="I22" s="34"/>
      <x:c r="J22" s="34"/>
      <x:c r="K22" s="34"/>
      <x:c r="L22" s="34"/>
    </x:row>
    <x:row r="23" ht="160" customHeight="1">
      <x:c r="A23" s="20" t="str">
        <x:v>B8</x:v>
      </x:c>
      <x:c r="B23" s="20" t="str">
        <x:v>P1</x:v>
      </x:c>
      <x:c r="C23" s="20" t="str">
        <x:v>合规·商单</x:v>
      </x:c>
      <x:c r="D23" s="20" t="str">
        <x:v>商单/广告合规与禁入品类</x:v>
      </x:c>
      <x:c r="E23" s="20" t="str">
        <x:v>数字人代言适用广告法，需真实使用或合法授权，部分品类须禁入</x:v>
      </x:c>
      <x:c r="F23" s="20" t="str">
        <x:v>①来单即接 ②需求方资质+素材审核+品类负面清单</x:v>
      </x:c>
      <x:c r="G23" s="20" t="str">
        <x:v>采用②：广告代言类需求方需企业资质+广告素材合规审核+全程留痕；建立禁入品类清单（医疗/药品/金融理财/保健品/教育培训等）；数字人代言需真实使用或合法授权并存证</x:v>
      </x:c>
      <x:c r="H23" s="20" t="str">
        <x:v>商单/审核/法务</x:v>
      </x:c>
      <x:c r="I23" s="34"/>
      <x:c r="J23" s="34"/>
      <x:c r="K23" s="34"/>
      <x:c r="L23" s="34"/>
    </x:row>
    <x:row r="24" ht="160" customHeight="1">
      <x:c r="A24" s="20" t="str">
        <x:v>C1</x:v>
      </x:c>
      <x:c r="B24" s="20" t="str">
        <x:v>P1</x:v>
      </x:c>
      <x:c r="C24" s="20" t="str">
        <x:v>变现·抽佣</x:v>
      </x:c>
      <x:c r="D24" s="20" t="str">
        <x:v>平台抽佣比例与 MCN 分成方式</x:v>
      </x:c>
      <x:c r="E24" s="20" t="str">
        <x:v>决定商业模式与各方收益，是 P1 变现的总开关</x:v>
      </x:c>
      <x:c r="F24" s="20" t="str">
        <x:v>抽佣10% / 20% / 30%；MCN分成从平台让渡或从主理人扣</x:v>
      </x:c>
      <x:c r="G24" s="20" t="str">
        <x:v>服务抽佣默认20%（按品类15-30%后台可配）；MCN 一级带量分成从平台服务费中让渡3-8个点、不从主理人收入中扣；用户/MCN 在规则内自主定价</x:v>
      </x:c>
      <x:c r="H24" s="20" t="str">
        <x:v>分账/钱包/定价</x:v>
      </x:c>
      <x:c r="I24" s="34"/>
      <x:c r="J24" s="34"/>
      <x:c r="K24" s="34"/>
      <x:c r="L24" s="34"/>
    </x:row>
    <x:row r="25" ht="160" customHeight="1">
      <x:c r="A25" s="20" t="str">
        <x:v>C2</x:v>
      </x:c>
      <x:c r="B25" s="20" t="str">
        <x:v>P1</x:v>
      </x:c>
      <x:c r="C25" s="20" t="str">
        <x:v>变现·钱包</x:v>
      </x:c>
      <x:c r="D25" s="20" t="str">
        <x:v>结算周期、提现规则与个人个税代扣</x:v>
      </x:c>
      <x:c r="E25" s="20" t="str">
        <x:v>个人经营/劳务收入涉及代扣个税，结算节奏影响体验与合规</x:v>
      </x:c>
      <x:c r="F25" s="20" t="str">
        <x:v>T+0/T+1/T+7 到账；个税是否代扣、以何科目</x:v>
      </x:c>
      <x:c r="G25" s="20" t="str">
        <x:v>验收后 T+1 入“可结算余额”，设最低提现额，建议 T+3 到账；个人按劳务报酬/经营所得代扣个税（优先接灵活用工/持牌委托代征）；MCN 对公开票；确权增值费开票、官费与服务费分开列示</x:v>
      </x:c>
      <x:c r="H25" s="20" t="str">
        <x:v>钱包/财务/税务</x:v>
      </x:c>
      <x:c r="I25" s="34"/>
      <x:c r="J25" s="34"/>
      <x:c r="K25" s="34"/>
      <x:c r="L25" s="34"/>
    </x:row>
    <x:row r="26" ht="160" customHeight="1">
      <x:c r="A26" s="20" t="str">
        <x:v>C3</x:v>
      </x:c>
      <x:c r="B26" s="20" t="str">
        <x:v>P1</x:v>
      </x:c>
      <x:c r="C26" s="20" t="str">
        <x:v>分发·榜单</x:v>
      </x:c>
      <x:c r="D26" s="20" t="str">
        <x:v>热度/新兴/地区三大榜单算法与防刷</x:v>
      </x:c>
      <x:c r="E26" s="20" t="str">
        <x:v>榜单是流量分配与变现引擎，须公平、可解释、防刷</x:v>
      </x:c>
      <x:c r="F26" s="20" t="str">
        <x:v>①单一热度排序 ②多维加权+防刷</x:v>
      </x:c>
      <x:c r="G26" s="20" t="str">
        <x:v>采用②：热度榜=作品/商单/互动加权，新兴榜=增速+新人加权，地区榜=地域维度；每日定时快照、权重后台可配；做防刷（去机器人/异常流量过滤），规则对外公示</x:v>
      </x:c>
      <x:c r="H26" s="20" t="str">
        <x:v>榜单/数据/后台</x:v>
      </x:c>
      <x:c r="I26" s="34"/>
      <x:c r="J26" s="34"/>
      <x:c r="K26" s="34"/>
      <x:c r="L26" s="34"/>
    </x:row>
    <x:row r="27" ht="160" customHeight="1">
      <x:c r="A27" s="20" t="str">
        <x:v>C4</x:v>
      </x:c>
      <x:c r="B27" s="20" t="str">
        <x:v>P1</x:v>
      </x:c>
      <x:c r="C27" s="20" t="str">
        <x:v>服务·档位</x:v>
      </x:c>
      <x:c r="D27" s="20" t="str">
        <x:v>标准档与高端档的服务差异边界</x:v>
      </x:c>
      <x:c r="E27" s="20" t="str">
        <x:v>价格带与交付边界不清会产生预期纠纷</x:v>
      </x:c>
      <x:c r="F27" s="20" t="str">
        <x:v>单档 / 双档 / 多档</x:v>
      </x:c>
      <x:c r="G27" s="20" t="str">
        <x:v>采用双档：标准档=模板化AI流水线、固定模板/时长/含2轮修改/亲民价；高端档=一对一、人工监制、可选名导、更多修改轮次、更长时长、高价格带；产出《档位差异对比表》并在下单页强提示</x:v>
      </x:c>
      <x:c r="H27" s="20" t="str">
        <x:v>商品/生产/定价/客服</x:v>
      </x:c>
      <x:c r="I27" s="34"/>
      <x:c r="J27" s="34"/>
      <x:c r="K27" s="34"/>
      <x:c r="L27" s="34"/>
    </x:row>
    <x:row r="28" ht="160" customHeight="1">
      <x:c r="A28" s="20" t="str">
        <x:v>C5</x:v>
      </x:c>
      <x:c r="B28" s="20" t="str">
        <x:v>P1</x:v>
      </x:c>
      <x:c r="C28" s="20" t="str">
        <x:v>内容·剧本</x:v>
      </x:c>
      <x:c r="D28" s="20" t="str">
        <x:v>剧本框架(SCRIPT)来源与版权归属</x:v>
      </x:c>
      <x:c r="E28" s="20" t="str">
        <x:v>剧本是核心生产资料，版权不清会连带侵权</x:v>
      </x:c>
      <x:c r="F28" s="20" t="str">
        <x:v>①纯AI生成 ②平台自采/签约模板为主、AI仅辅助 ③全靠用户自带</x:v>
      </x:c>
      <x:c r="G28" s="20" t="str">
        <x:v>采用②：平台自采/签约编剧模板为主，P0 即建题库模板、AI 仅辅助润色；模板可复用（非独家），定制后该项目剧本归该项目做版本管理；模板分免费/付费；版权来源留档；标注 AI 辅助程度</x:v>
      </x:c>
      <x:c r="H28" s="20" t="str">
        <x:v>内容/版权/生产</x:v>
      </x:c>
      <x:c r="I28" s="34"/>
      <x:c r="J28" s="34"/>
      <x:c r="K28" s="34"/>
      <x:c r="L28" s="34"/>
    </x:row>
    <x:row r="29" ht="160" customHeight="1">
      <x:c r="A29" s="20" t="str">
        <x:v>C6</x:v>
      </x:c>
      <x:c r="B29" s="20" t="str">
        <x:v>P1</x:v>
      </x:c>
      <x:c r="C29" s="20" t="str">
        <x:v>机构·MCN</x:v>
      </x:c>
      <x:c r="D29" s="20" t="str">
        <x:v>机构入驻、数字人独家管理与身份切换</x:v>
      </x:c>
      <x:c r="E29" s="20" t="str">
        <x:v>一个数字人同时挂多家机构会产生权益与分账冲突</x:v>
      </x:c>
      <x:c r="F29" s="20" t="str">
        <x:v>①允许多机构挂靠 ②独家管理+换绑冷静期</x:v>
      </x:c>
      <x:c r="G29" s="20" t="str">
        <x:v>采用②：MCN 需企业资质认证+对旗下艺人的授权链；一个数字人同一时间只挂一家 MCN（独家管理），可换绑、设30天冷静期，换绑不溯及进行中/历史订单；同一自然人可在“个人/机构成员”身份间切换，但须标明当前操作身份</x:v>
      </x:c>
      <x:c r="H29" s="20" t="str">
        <x:v>MCN/账号/授权</x:v>
      </x:c>
      <x:c r="I29" s="34"/>
      <x:c r="J29" s="34"/>
      <x:c r="K29" s="34"/>
      <x:c r="L29" s="34"/>
    </x:row>
    <x:row r="30" ht="160" customHeight="1">
      <x:c r="A30" s="20" t="str">
        <x:v>C7</x:v>
      </x:c>
      <x:c r="B30" s="20" t="str">
        <x:v>P1</x:v>
      </x:c>
      <x:c r="C30" s="20" t="str">
        <x:v>业务边界</x:v>
      </x:c>
      <x:c r="D30" s="20" t="str">
        <x:v>入戏 / 商单 / 成角三类业务的边界与归类</x:v>
      </x:c>
      <x:c r="E30" s="20" t="str">
        <x:v>三类的钱流、审核、分账各不相同，混了会走错流程</x:v>
      </x:c>
      <x:c r="F30" s="20" t="str">
        <x:v>①不区分 ②发布时强归类、后台可改</x:v>
      </x:c>
      <x:c r="G30" s="20" t="str">
        <x:v>明确定义：入戏=用户给自己数字人买剧/角色（C端消费）；商单=外部需求方付费请数字人交付一个成果（数字人是供给侧接单）；成角=多角色凑齐做可发行作品。需求方 P1 先由平台审核代发、企业可自助发布；发布时选类型，后台可改归类并留痕</x:v>
      </x:c>
      <x:c r="H30" s="20" t="str">
        <x:v>全业务线/订单/审核</x:v>
      </x:c>
      <x:c r="I30" s="34"/>
      <x:c r="J30" s="34"/>
      <x:c r="K30" s="34"/>
      <x:c r="L30" s="34"/>
    </x:row>
    <x:row r="31" ht="160" customHeight="1">
      <x:c r="A31" s="20" t="str">
        <x:v>D1</x:v>
      </x:c>
      <x:c r="B31" s="20" t="str">
        <x:v>P2</x:v>
      </x:c>
      <x:c r="C31" s="20" t="str">
        <x:v>成角·范围</x:v>
      </x:c>
      <x:c r="D31" s="20" t="str">
        <x:v>成角（对外发行）线是否进入 P0</x:v>
      </x:c>
      <x:c r="E31" s="20" t="str">
        <x:v>发行最重最复杂，进 P0 会拖慢最小自娱付费闭环</x:v>
      </x:c>
      <x:c r="F31" s="20" t="str">
        <x:v>①P0即做成角 ②P0只预留入口与双轨字段、P2正式上线</x:v>
      </x:c>
      <x:c r="G31" s="20" t="str">
        <x:v>采用②：P0 仅预留“申请发行/成角”入口与双轨审核字段，正式能力 P2 上线</x:v>
      </x:c>
      <x:c r="H31" s="20" t="str">
        <x:v>路线图/架构</x:v>
      </x:c>
      <x:c r="I31" s="34"/>
      <x:c r="J31" s="34"/>
      <x:c r="K31" s="34"/>
      <x:c r="L31" s="34"/>
    </x:row>
    <x:row r="32" ht="160" customHeight="1">
      <x:c r="A32" s="20" t="str">
        <x:v>D2</x:v>
      </x:c>
      <x:c r="B32" s="20" t="str">
        <x:v>P2</x:v>
      </x:c>
      <x:c r="C32" s="20" t="str">
        <x:v>成角·立项</x:v>
      </x:c>
      <x:c r="D32" s="20" t="str">
        <x:v>出品立项条件与流拍（凑不齐角色）处理</x:v>
      </x:c>
      <x:c r="E32" s="20" t="str">
        <x:v>多角色凑不齐如何收尾、钱怎么退需先定</x:v>
      </x:c>
      <x:c r="F32" s="20" t="str">
        <x:v>①凑不齐也硬做 ②齐套才立项、不齐流拍退款</x:v>
      </x:c>
      <x:c r="G32" s="20" t="str">
        <x:v>采用②：核心角色全部认购确认+授权齐套+制作方案确定=立项成功；到截止未齐=流拍，原路退款（扣通道费），可延期一次</x:v>
      </x:c>
      <x:c r="H32" s="20" t="str">
        <x:v>竞拍/订单/支付</x:v>
      </x:c>
      <x:c r="I32" s="34"/>
      <x:c r="J32" s="34"/>
      <x:c r="K32" s="34"/>
      <x:c r="L32" s="34"/>
    </x:row>
    <x:row r="33" ht="160" customHeight="1">
      <x:c r="A33" s="20" t="str">
        <x:v>D3</x:v>
      </x:c>
      <x:c r="B33" s="20" t="str">
        <x:v>P2</x:v>
      </x:c>
      <x:c r="C33" s="20" t="str">
        <x:v>成角·竞拍</x:v>
      </x:c>
      <x:c r="D33" s="20" t="str">
        <x:v>角色竞拍规则：保证金/出价步长/防狙击/角色权益</x:v>
      </x:c>
      <x:c r="E33" s="20" t="str">
        <x:v>竞拍是成角核心交易机制，需防恶意违约、防狙击与二级炒作</x:v>
      </x:c>
      <x:c r="F33" s="20" t="str">
        <x:v>①收保证金 ②不收保证金、改违约记录</x:v>
      </x:c>
      <x:c r="G33" s="20" t="str">
        <x:v>采用②：不收保证金以降门槛，改“中标后限时支付锁角、超时作废角色重上架+记违约”；固定出价步长（如10元/档，可配），最后30秒出价自动延时30秒防狙击；一口价即时成交；流拍可重上架；角色权益=该剧该角色出演服务+署名、不可转让（防二级炒作）</x:v>
      </x:c>
      <x:c r="H33" s="20" t="str">
        <x:v>竞拍/支付/风控</x:v>
      </x:c>
      <x:c r="I33" s="34"/>
      <x:c r="J33" s="34"/>
      <x:c r="K33" s="34"/>
      <x:c r="L33" s="34"/>
    </x:row>
    <x:row r="34" ht="160" customHeight="1">
      <x:c r="A34" s="20" t="str">
        <x:v>D4</x:v>
      </x:c>
      <x:c r="B34" s="20" t="str">
        <x:v>P2</x:v>
      </x:c>
      <x:c r="C34" s="20" t="str">
        <x:v>两线切换</x:v>
      </x:c>
      <x:c r="D34" s="20" t="str">
        <x:v>自娱内容转对外发行的“转线闸门”</x:v>
      </x:c>
      <x:c r="E34" s="20" t="str">
        <x:v>对内美化、轻审核的内容不能直接拿去公开发行</x:v>
      </x:c>
      <x:c r="F34" s="20" t="str">
        <x:v>①可一键直接转 ②补确权+发行级严审才转</x:v>
      </x:c>
      <x:c r="G34" s="20" t="str">
        <x:v>采用②：必须补本人1:1确权或他人授权+发行级授权范围+通过严格双轨审核；美化形象需还原/补真实素材；驳回则退回自娱收藏态，不因已交付自娱价值而退款或走争议</x:v>
      </x:c>
      <x:c r="H34" s="20" t="str">
        <x:v>两线切换/审核/授权</x:v>
      </x:c>
      <x:c r="I34" s="34"/>
      <x:c r="J34" s="34"/>
      <x:c r="K34" s="34"/>
      <x:c r="L34" s="34"/>
    </x:row>
    <x:row r="35" ht="160" customHeight="1">
      <x:c r="A35" s="20" t="str">
        <x:v>D5</x:v>
      </x:c>
      <x:c r="B35" s="20" t="str">
        <x:v>P2</x:v>
      </x:c>
      <x:c r="C35" s="20" t="str">
        <x:v>发行·审核</x:v>
      </x:c>
      <x:c r="D35" s="20" t="str">
        <x:v>发行前多方确认顺序</x:v>
      </x:c>
      <x:c r="E35" s="20" t="str">
        <x:v>成片发行需权利人、制作方、平台三方都确认</x:v>
      </x:c>
      <x:c r="F35" s="20" t="str">
        <x:v>①平台单方定 ②多方按序会签</x:v>
      </x:c>
      <x:c r="G35" s="20" t="str">
        <x:v>采用②：按“权利人→制作/导演→平台审核”顺序，任一方打回即回改，全部确认才过审上架</x:v>
      </x:c>
      <x:c r="H35" s="20" t="str">
        <x:v>发行/审核</x:v>
      </x:c>
      <x:c r="I35" s="34"/>
      <x:c r="J35" s="34"/>
      <x:c r="K35" s="34"/>
      <x:c r="L35" s="34"/>
    </x:row>
    <x:row r="36" ht="160" customHeight="1">
      <x:c r="A36" s="20" t="str">
        <x:v>D6</x:v>
      </x:c>
      <x:c r="B36" s="20" t="str">
        <x:v>P2</x:v>
      </x:c>
      <x:c r="C36" s="20" t="str">
        <x:v>发行·结算</x:v>
      </x:c>
      <x:c r="D36" s="20" t="str">
        <x:v>发行收入可分配口径与结算周期（旧Q8遗留）</x:v>
      </x:c>
      <x:c r="E36" s="20" t="str">
        <x:v>“按净利润分账”极易扯皮，需明确可分配收入口径</x:v>
      </x:c>
      <x:c r="F36" s="20" t="str">
        <x:v>①按净利润 ②按可分配收入=到账-明确扣项</x:v>
      </x:c>
      <x:c r="G36" s="20" t="str">
        <x:v>采用②：可分配收入=实际到账-退款冲正-税费-渠道费-合同明确扣项（不用“净利润”模糊口径），合同写“可分配收入的X%”；建议月结、出结算单、确认锁定，补发/扣回进下期；发行渠道 P2 先人工录入</x:v>
      </x:c>
      <x:c r="H36" s="20" t="str">
        <x:v>分账/财务/合同</x:v>
      </x:c>
      <x:c r="I36" s="34"/>
      <x:c r="J36" s="34"/>
      <x:c r="K36" s="34"/>
      <x:c r="L36" s="34"/>
    </x:row>
    <x:row r="37" ht="160" customHeight="1">
      <x:c r="A37" s="20" t="str">
        <x:v>D7</x:v>
      </x:c>
      <x:c r="B37" s="20" t="str">
        <x:v>P2</x:v>
      </x:c>
      <x:c r="C37" s="20" t="str">
        <x:v>企业入口</x:v>
      </x:c>
      <x:c r="D37" s="20" t="str">
        <x:v>企业/品牌委托方入口何时开放</x:v>
      </x:c>
      <x:c r="E37" s="20" t="str">
        <x:v>对公项目的付款、合同、发票与 C 端完全不同</x:v>
      </x:c>
      <x:c r="F37" s="20" t="str">
        <x:v>①P0即开企业端 ②P2开放、前期平台商务代建</x:v>
      </x:c>
      <x:c r="G37" s="20" t="str">
        <x:v>采用②：P2 开放企业入口（企业资质+合同+对公付款），P0/P1 由平台商务人工代建</x:v>
      </x:c>
      <x:c r="H37" s="20" t="str">
        <x:v>企业端/商务/财务</x:v>
      </x:c>
      <x:c r="I37" s="34"/>
      <x:c r="J37" s="34"/>
      <x:c r="K37" s="34"/>
      <x:c r="L37" s="34"/>
    </x:row>
    <x:row r="38" ht="160" customHeight="1">
      <x:c r="A38" s="20" t="str">
        <x:v>D8</x:v>
      </x:c>
      <x:c r="B38" s="20" t="str">
        <x:v>P2</x:v>
      </x:c>
      <x:c r="C38" s="20" t="str">
        <x:v>政策跟踪</x:v>
      </x:c>
      <x:c r="D38" s="20" t="str">
        <x:v>数字人身份标识强制国标与监管新规跟踪</x:v>
      </x:c>
      <x:c r="E38" s="20" t="str">
        <x:v>数字艺人卡/沙盒、身份标识国标、数字虚拟人管理办法正式稿将陆续落地</x:v>
      </x:c>
      <x:c r="F38" s="20" t="str">
        <x:v>①不预留 ②预留字段+专人跟踪</x:v>
      </x:c>
      <x:c r="G38" s="20" t="str">
        <x:v>采用②：预留统一数字人身份标识字段；专人跟踪北京经开区数字艺人卡/沙盒审批、工信部数字人身份标识强制国标、网信办《数字虚拟人信息服务管理办法》正式稿，落地后对齐</x:v>
      </x:c>
      <x:c r="H38" s="20" t="str">
        <x:v>合规/架构/政策</x:v>
      </x:c>
      <x:c r="I38" s="34"/>
      <x:c r="J38" s="34"/>
      <x:c r="K38" s="34"/>
      <x:c r="L38" s="34"/>
    </x:row>
  </x:sheetData>
  <x:mergeCells>
    <x:mergeCell ref="A1:L2"/>
    <x:mergeCell ref="A3:L4"/>
  </x:mergeCells>
  <x:pageMargins left="0.7" right="0.7" top="0.75" bottom="0.75" header="0.3" footer="0.3"/>
  <x:tableParts count="1">
    <x:tablePart xmlns:r="http://schemas.openxmlformats.org/officeDocument/2006/relationships" r:id="Rcf5d2c4d7bae471e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0" hidden="0" customWidth="1"/>
    <x:col min="3" max="3" width="92" hidden="0" customWidth="1"/>
    <x:col min="4" max="4" width="62" hidden="0" customWidth="1"/>
    <x:col min="5" max="5" width="18" hidden="0" customWidth="1"/>
  </x:cols>
  <x:sheetData>
    <x:row r="1" ht="24" customHeight="1">
      <x:c r="A1" s="8" t="str">
        <x:v>来源索引｜原始资料与外部研究分开</x:v>
      </x:c>
      <x:c r="B1" s="8"/>
      <x:c r="C1" s="8"/>
      <x:c r="D1" s="8"/>
      <x:c r="E1" s="8"/>
    </x:row>
    <x:row r="2" ht="24" customHeight="1">
      <x:c r="A2" s="8"/>
      <x:c r="B2" s="8"/>
      <x:c r="C2" s="8"/>
      <x:c r="D2" s="8"/>
      <x:c r="E2" s="8"/>
    </x:row>
    <x:row r="3" ht="22" customHeight="1">
      <x:c r="A3" s="15" t="str">
        <x:v>来源S01—S05为用户提供资料；WEB-01—WEB-08为公开一手资料。核验日期2026-09-20；官网介绍不等于本项目账号已开通。</x:v>
      </x:c>
      <x:c r="B3" s="15"/>
      <x:c r="C3" s="15"/>
      <x:c r="D3" s="15"/>
      <x:c r="E3" s="15"/>
    </x:row>
    <x:row r="4" ht="22" customHeight="1">
      <x:c r="A4" s="15"/>
      <x:c r="B4" s="15"/>
      <x:c r="C4" s="15"/>
      <x:c r="D4" s="15"/>
      <x:c r="E4" s="15"/>
    </x:row>
    <x:row r="5">
      <x:c r="A5" s="4"/>
      <x:c r="B5" s="4"/>
      <x:c r="C5" s="4"/>
      <x:c r="D5" s="4"/>
      <x:c r="E5" s="4"/>
    </x:row>
    <x:row r="6" ht="34" customHeight="1">
      <x:c r="A6" s="24" t="str">
        <x:v>来源编号</x:v>
      </x:c>
      <x:c r="B6" s="24" t="str">
        <x:v>名称</x:v>
      </x:c>
      <x:c r="C6" s="24" t="str">
        <x:v>文件位置或官方链接</x:v>
      </x:c>
      <x:c r="D6" s="24" t="str">
        <x:v>本轮使用边界</x:v>
      </x:c>
      <x:c r="E6" s="24" t="str">
        <x:v>核验日期</x:v>
      </x:c>
    </x:row>
    <x:row r="7" ht="88" customHeight="1">
      <x:c r="A7" s="20" t="str">
        <x:v>S01</x:v>
      </x:c>
      <x:c r="B7" s="20" t="str">
        <x:v>仓库快照/现状说明</x:v>
      </x:c>
      <x:c r="C7" s="20" t="str">
        <x:v>40a8ddbe-680e-4d92-996b-6a8318e6a312.zip → jingjing-main/README.md</x:v>
      </x:c>
      <x:c r="D7" s="20" t="str">
        <x:v>代码现实与产品材料未等价；本轮不运行/修改工程</x:v>
      </x:c>
      <x:c r="E7" s="20" t="str">
        <x:v>2026-09-20</x:v>
      </x:c>
    </x:row>
    <x:row r="8" ht="88" customHeight="1">
      <x:c r="A8" s="20" t="str">
        <x:v>S02</x:v>
      </x:c>
      <x:c r="B8" s="20" t="str">
        <x:v>版本2会议审议稿</x:v>
      </x:c>
      <x:c r="C8" s="20" t="str">
        <x:v>晶晶日上_V1产品与业务建设方案_会议审议稿_V1.2.docx</x:v>
      </x:c>
      <x:c r="D8" s="20" t="str">
        <x:v>三端、D01–D23的历史建议；无自动升格确认</x:v>
      </x:c>
      <x:c r="E8" s="20" t="str">
        <x:v>2026-09-20</x:v>
      </x:c>
    </x:row>
    <x:row r="9" ht="88" customHeight="1">
      <x:c r="A9" s="20" t="str">
        <x:v>S03</x:v>
      </x:c>
      <x:c r="B9" s="20" t="str">
        <x:v>版本3评审稿</x:v>
      </x:c>
      <x:c r="C9" s="20" t="str">
        <x:v>最新会议.docx，V0.4，§1/§4/§6/§8/§10</x:v>
      </x:c>
      <x:c r="D9" s="20" t="str">
        <x:v>源文件明确部分数值是示例、待确认</x:v>
      </x:c>
      <x:c r="E9" s="20" t="str">
        <x:v>2026-09-20</x:v>
      </x:c>
    </x:row>
    <x:row r="10" ht="88" customHeight="1">
      <x:c r="A10" s="20" t="str">
        <x:v>S04</x:v>
      </x:c>
      <x:c r="B10" s="20" t="str">
        <x:v>版本3融合清单</x:v>
      </x:c>
      <x:c r="C10" s="20" t="str">
        <x:v>晶选片场_业务架构融合与待处理问题清单_20260915.md</x:v>
      </x:c>
      <x:c r="D10" s="20" t="str">
        <x:v>P0/P1/P2分期与待拍问题</x:v>
      </x:c>
      <x:c r="E10" s="20" t="str">
        <x:v>2026-09-20</x:v>
      </x:c>
    </x:row>
    <x:row r="11" ht="88" customHeight="1">
      <x:c r="A11" s="20" t="str">
        <x:v>S05</x:v>
      </x:c>
      <x:c r="B11" s="20" t="str">
        <x:v>版本3决策原表</x:v>
      </x:c>
      <x:c r="C11" s="20" t="str">
        <x:v>晶选片场_业务决策工作底稿_20260915.xlsx，决策总表A1:L33</x:v>
      </x:c>
      <x:c r="D11" s="20" t="str">
        <x:v>32条原会议结论I2:I33为空；本包保留原推荐与空结论</x:v>
      </x:c>
      <x:c r="E11" s="20" t="str">
        <x:v>2026-09-20</x:v>
      </x:c>
    </x:row>
    <x:row r="12" ht="88" customHeight="1">
      <x:c r="A12" s="20" t="str">
        <x:v>WEB-01</x:v>
      </x:c>
      <x:c r="B12" s="20" t="str">
        <x:v>个人信息保护法</x:v>
      </x:c>
      <x:c r="C12" s="20" t="str">
        <x:v>https://www.cac.gov.cn/2021-08/20/c_1631050028355286.htm</x:v>
      </x:c>
      <x:c r="D12" s="20" t="str">
        <x:v>第14–15、28–30、47、55条；采集前同意、撤回及必要保存</x:v>
      </x:c>
      <x:c r="E12" s="20" t="str">
        <x:v>2026-09-20</x:v>
      </x:c>
    </x:row>
    <x:row r="13" ht="88" customHeight="1">
      <x:c r="A13" s="20" t="str">
        <x:v>WEB-02</x:v>
      </x:c>
      <x:c r="B13" s="20" t="str">
        <x:v>深度合成管理规定</x:v>
      </x:c>
      <x:c r="C13" s="20" t="str">
        <x:v>https://www.cac.gov.cn/2022-12/11/c_1672221949354811.htm</x:v>
      </x:c>
      <x:c r="D13" s="20" t="str">
        <x:v>第9/14/17等；身份、人脸人声告知同意与标识，备案按适用条件</x:v>
      </x:c>
      <x:c r="E13" s="20" t="str">
        <x:v>2026-09-20</x:v>
      </x:c>
    </x:row>
    <x:row r="14" ht="88" customHeight="1">
      <x:c r="A14" s="20" t="str">
        <x:v>WEB-03</x:v>
      </x:c>
      <x:c r="B14" s="20" t="str">
        <x:v>Apple审核指南</x:v>
      </x:c>
      <x:c r="C14" s="20" t="str">
        <x:v>https://developer.apple.com/app-store/review/guidelines/</x:v>
      </x:c>
      <x:c r="D14" s="20" t="str">
        <x:v>2.1完整性；3.1.1数字服务；3.1.3(d/e)例外不可扩大套用</x:v>
      </x:c>
      <x:c r="E14" s="20" t="str">
        <x:v>2026-09-20</x:v>
      </x:c>
    </x:row>
    <x:row r="15" ht="88" customHeight="1">
      <x:c r="A15" s="20" t="str">
        <x:v>WEB-04</x:v>
      </x:c>
      <x:c r="B15" s="20" t="str">
        <x:v>Apple Small Business Program</x:v>
      </x:c>
      <x:c r="C15" s="20" t="str">
        <x:v>https://developer.apple.com/app-store/small-business-program/</x:v>
      </x:c>
      <x:c r="D15" s="20" t="str">
        <x:v>满足项目条件有差异费率，不把30%设所有订单唯一事实</x:v>
      </x:c>
      <x:c r="E15" s="20" t="str">
        <x:v>2026-09-20</x:v>
      </x:c>
    </x:row>
    <x:row r="16" ht="88" customHeight="1">
      <x:c r="A16" s="20" t="str">
        <x:v>WEB-05</x:v>
      </x:c>
      <x:c r="B16" s="20" t="str">
        <x:v>人工智能生成合成内容标识办法</x:v>
      </x:c>
      <x:c r="C16" s="20" t="str">
        <x:v>https://www.cac.gov.cn/2025-03/14/c_1743654684782215.htm</x:v>
      </x:c>
      <x:c r="D16" s="20" t="str">
        <x:v>显式/隐式及导出传播要求；本包不提供去标服务是产品选择</x:v>
      </x:c>
      <x:c r="E16" s="20" t="str">
        <x:v>2026-09-20</x:v>
      </x:c>
    </x:row>
    <x:row r="17" ht="88" customHeight="1">
      <x:c r="A17" s="20" t="str">
        <x:v>WEB-06</x:v>
      </x:c>
      <x:c r="B17" s="20" t="str">
        <x:v>星图MCN与达人分账比例</x:v>
      </x:c>
      <x:c r="C17" s="20" t="str">
        <x:v>https://www.xingtu.cn/help-center/mcn/145269</x:v>
      </x:c>
      <x:c r="D17" s="20" t="str">
        <x:v>达人确认后生效；订单按接单时比例；新比例不追改历史</x:v>
      </x:c>
      <x:c r="E17" s="20" t="str">
        <x:v>2026-09-20</x:v>
      </x:c>
    </x:row>
    <x:row r="18" ht="88" customHeight="1">
      <x:c r="A18" s="20" t="str">
        <x:v>WEB-07</x:v>
      </x:c>
      <x:c r="B18" s="20" t="str">
        <x:v>Frame.io版本管理</x:v>
      </x:c>
      <x:c r="C18" s="20" t="str">
        <x:v>https://help.frame.io/en/articles/9101068-versioning-in-frame-io</x:v>
      </x:c>
      <x:c r="D18" s="20" t="str">
        <x:v>版本独立与版本栈管理；本项目借用机制，不照搬收费/验收时限</x:v>
      </x:c>
      <x:c r="E18" s="20" t="str">
        <x:v>2026-09-20</x:v>
      </x:c>
    </x:row>
    <x:row r="19" ht="88" customHeight="1">
      <x:c r="A19" s="20" t="str">
        <x:v>WEB-08</x:v>
      </x:c>
      <x:c r="B19" s="20" t="str">
        <x:v>Stripe产品与价格管理</x:v>
      </x:c>
      <x:c r="C19" s="20" t="str">
        <x:v>https://docs.stripe.com/products-prices/manage-prices</x:v>
      </x:c>
      <x:c r="D19" s="20" t="str">
        <x:v>新价格新记录；保留旧价历史。不建议本项目因此更换支付宝</x:v>
      </x:c>
      <x:c r="E19" s="20" t="str">
        <x:v>2026-09-20</x:v>
      </x:c>
    </x:row>
  </x:sheetData>
  <x:mergeCells>
    <x:mergeCell ref="A1:E2"/>
    <x:mergeCell ref="A3:E4"/>
  </x:mergeCells>
  <x:pageMargins left="0.7" right="0.7" top="0.75" bottom="0.75" header="0.3" footer="0.3"/>
  <x:tableParts count="1">
    <x:tablePart xmlns:r="http://schemas.openxmlformats.org/officeDocument/2006/relationships" r:id="Rc261537e5cc34422"/>
  </x:tableParts>
</x:worksheet>
</file>